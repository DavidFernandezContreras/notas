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830ef27e78654e57" 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adas" sheetId="1" r:id="rId4"/>
    <sheet state="visible" name="Basicas" sheetId="2" r:id="rId5"/>
    <sheet state="visible" name="Optativas" sheetId="3" r:id="rId6"/>
    <sheet state="visible" name="Obligatorias" sheetId="4" r:id="rId7"/>
    <sheet state="visible" name="Itinerarios" sheetId="5" r:id="rId8"/>
    <sheet state="visible" name="Convalidadas" sheetId="6" r:id="rId9"/>
    <sheet state="visible" name="Total Asignaturas" sheetId="7" r:id="rId10"/>
  </sheets>
  <definedNames>
    <definedName hidden="1" localSheetId="0" name="_xlnm._FilterDatabase">Cursadas!$A$3:$G$17</definedName>
    <definedName hidden="1" localSheetId="5" name="_xlnm._FilterDatabase">Convalidadas!$B$2:$D$11</definedName>
    <definedName hidden="1" localSheetId="6" name="_xlnm._FilterDatabase">'Total Asignaturas'!$A$1:$A$57</definedName>
  </definedNames>
  <calcPr/>
  <extLst>
    <ext uri="GoogleSheetsCustomDataVersion2">
      <go:sheetsCustomData xmlns:go="http://customooxmlschemas.google.com/" r:id="rId11" roundtripDataChecksum="adZIGbn88VNoMr7U9SrRZPIKbXyaW30rOCB6cuwFw10="/>
    </ext>
  </extLst>
</workbook>
</file>

<file path=xl/sharedStrings.xml><?xml version="1.0" encoding="utf-8"?>
<sst xmlns="http://schemas.openxmlformats.org/spreadsheetml/2006/main" count="450" uniqueCount="121">
  <si>
    <t>Ingenieria Informatica</t>
  </si>
  <si>
    <t>Cursadas</t>
  </si>
  <si>
    <t>Convalidadas</t>
  </si>
  <si>
    <t>Totales Necesarias</t>
  </si>
  <si>
    <t>Quedan</t>
  </si>
  <si>
    <t>Asignatura</t>
  </si>
  <si>
    <t>Tipo</t>
  </si>
  <si>
    <t>Aprobada</t>
  </si>
  <si>
    <t>Convalidada</t>
  </si>
  <si>
    <t>Cursando Actualmente</t>
  </si>
  <si>
    <t>Creditos</t>
  </si>
  <si>
    <t>Fecha</t>
  </si>
  <si>
    <t>Básica</t>
  </si>
  <si>
    <t>Lógica</t>
  </si>
  <si>
    <t>Obligatoria</t>
  </si>
  <si>
    <t>Análisis y diseño de patrones</t>
  </si>
  <si>
    <t>Optativa</t>
  </si>
  <si>
    <t>Competencia comunicativa para profesionales de las TIC</t>
  </si>
  <si>
    <t>Fundamentos de programación</t>
  </si>
  <si>
    <t>Prácticas de programación</t>
  </si>
  <si>
    <t>Trabajo en equipo en la red</t>
  </si>
  <si>
    <t>Diseño de bases de datos</t>
  </si>
  <si>
    <t>Diseño y programación orientada a objetos</t>
  </si>
  <si>
    <t>Ingeniería del software</t>
  </si>
  <si>
    <t>Uso de bases de datos</t>
  </si>
  <si>
    <t>Prácticas en empresa / Més información sobre la matrícula de aquesta asignatura</t>
  </si>
  <si>
    <t>Iniciativa emprendedora</t>
  </si>
  <si>
    <t>Álgebra</t>
  </si>
  <si>
    <t>Administración y gestión de organizaciones</t>
  </si>
  <si>
    <t>Empresa</t>
  </si>
  <si>
    <t>Todos</t>
  </si>
  <si>
    <t>-</t>
  </si>
  <si>
    <t>EC + EX o EX</t>
  </si>
  <si>
    <t>Matemáticas</t>
  </si>
  <si>
    <t>EC + EX</t>
  </si>
  <si>
    <t>Análisis matemático</t>
  </si>
  <si>
    <t>Estadística</t>
  </si>
  <si>
    <t>Fundamentos de computadores</t>
  </si>
  <si>
    <t>Informática</t>
  </si>
  <si>
    <t>EC</t>
  </si>
  <si>
    <t>Fundamentos físicos de la informática</t>
  </si>
  <si>
    <t>Física
Matematicas</t>
  </si>
  <si>
    <t>Álgebra
Análisis matemático</t>
  </si>
  <si>
    <t>EC + PS</t>
  </si>
  <si>
    <t>Diseño y programación OO</t>
  </si>
  <si>
    <t>Ingeniería del Software</t>
  </si>
  <si>
    <t>Aprendizaje computacional</t>
  </si>
  <si>
    <t>Computación</t>
  </si>
  <si>
    <t>Febrero-junio</t>
  </si>
  <si>
    <t>Inteligencia artificial</t>
  </si>
  <si>
    <t>Arquitecturas de computadores avanzados</t>
  </si>
  <si>
    <t>Ingeniería de computadores</t>
  </si>
  <si>
    <t>Arquitectura de computadores</t>
  </si>
  <si>
    <t>Arquitectura de bases de datos</t>
  </si>
  <si>
    <t>Tecnologías de la información</t>
  </si>
  <si>
    <t>Septiembre-febrero</t>
  </si>
  <si>
    <t>Diseño de base de datos</t>
  </si>
  <si>
    <t>Sistemas operativos</t>
  </si>
  <si>
    <t>Autómatas y gramáticas</t>
  </si>
  <si>
    <t>Grafos y complejidad</t>
  </si>
  <si>
    <t>Comercio electrónico</t>
  </si>
  <si>
    <t>Uso de base de datos</t>
  </si>
  <si>
    <t>Compiladores</t>
  </si>
  <si>
    <t>Estuctura de computadores</t>
  </si>
  <si>
    <t>Criptografía</t>
  </si>
  <si>
    <t>Planificación y uso estratégico de SI</t>
  </si>
  <si>
    <t>Sistemas de información</t>
  </si>
  <si>
    <t>Gestión Funcional de servicios de SI/TI</t>
  </si>
  <si>
    <t>Uso de sistemas de información en las organizaciones</t>
  </si>
  <si>
    <t>Diseño de estructuras de datos</t>
  </si>
  <si>
    <t>Diseño de sistemas operativos</t>
  </si>
  <si>
    <t>Diseño de redes de computadores</t>
  </si>
  <si>
    <t>Administración de redes y sistemas operativos</t>
  </si>
  <si>
    <t>Estructura de redes de computadores</t>
  </si>
  <si>
    <t>Ingeniería de requisitos</t>
  </si>
  <si>
    <t>Ingeniería del software de componentes y sistemas distribudos</t>
  </si>
  <si>
    <t>Análisis y diseño con patrones</t>
  </si>
  <si>
    <t>Redes y aplicaciones Internet</t>
  </si>
  <si>
    <t>Fundamentos de sistemas de información</t>
  </si>
  <si>
    <t>Gestión de Proyectos</t>
  </si>
  <si>
    <t>Gestión funcional de servicios de SI/TI</t>
  </si>
  <si>
    <t>Iniciación a las matemáticas para la ingeniería</t>
  </si>
  <si>
    <t>Integración de sistemas de información</t>
  </si>
  <si>
    <t>Mineria de datos</t>
  </si>
  <si>
    <t>Haber superado 120 créditos</t>
  </si>
  <si>
    <t>Ing. de requisitos</t>
  </si>
  <si>
    <t>Ing. del software de componentes y sistemas distribuidos</t>
  </si>
  <si>
    <t>Interacción persona ordenador</t>
  </si>
  <si>
    <t>Representación del conocimiento</t>
  </si>
  <si>
    <t>Seguridad en redes de computadores</t>
  </si>
  <si>
    <t>Estructura de redes de computadores (en caso de querarla cursar)</t>
  </si>
  <si>
    <t>Sistemas empotrados</t>
  </si>
  <si>
    <t>Pensamiento computacional para aprender a programar</t>
  </si>
  <si>
    <t>Solo puede matricularse en caso de no haber superado o convalidado Fundamentos de programación ni Prácticas de programación.</t>
  </si>
  <si>
    <t>Trabajo final de grado / Más información sobre el trámite Solicitud del trabajo final</t>
  </si>
  <si>
    <t>Asignaturas del itinerario correspondiente (se pueden cursar algunas en paralelo) / Haber superado 180 créditos / Tener superada la asignatura Gestión de proyectos.</t>
  </si>
  <si>
    <t>Ingeniería del software
Prácticas de programación</t>
  </si>
  <si>
    <t>Estructura de computadores</t>
  </si>
  <si>
    <t>Fundamentos de computadores
Fundamentos de programación</t>
  </si>
  <si>
    <t>Gestión de proyectos</t>
  </si>
  <si>
    <t>Álgebra
Lógica
Prácticas de programación</t>
  </si>
  <si>
    <t>Idioma moderno I: inglés</t>
  </si>
  <si>
    <t>Idioma moderno II: inglés</t>
  </si>
  <si>
    <t>Sistemas distribuidos</t>
  </si>
  <si>
    <t>Estructura de computadores
Prácticas de programación</t>
  </si>
  <si>
    <t>Diseño y programación OO
Sistemas operativos</t>
  </si>
  <si>
    <t>Ingeniería de computadores
Ingeniería del software
Computación
Tecnologías de la información
Sistemas de información</t>
  </si>
  <si>
    <t>Itinerario</t>
  </si>
  <si>
    <t>Asignaturas</t>
  </si>
  <si>
    <t>Créditos</t>
  </si>
  <si>
    <t>Seleccionada</t>
  </si>
  <si>
    <t>Aprobadas/Convalidadas</t>
  </si>
  <si>
    <t>Arquitectura de computadores avanzados</t>
  </si>
  <si>
    <t>Seguridad en redes de computador</t>
  </si>
  <si>
    <t>Ingeniería del software de componentes y sistemas distribuidos</t>
  </si>
  <si>
    <t>Proyecto de desarrollo de software</t>
  </si>
  <si>
    <t>Minería de datos</t>
  </si>
  <si>
    <t>Gestión funcional de servicios SI/TI</t>
  </si>
  <si>
    <t>Planificación y uso estratégico de sistemas de información</t>
  </si>
  <si>
    <t>Convalidadas DAW</t>
  </si>
  <si>
    <t>Total Asignatutas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</si>
</sst>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2.0"/>
      <color rgb="FF0A0A0A"/>
      <name val="&quot;Google Sans&quot;"/>
    </font>
    <font>
      <sz val="11.0"/>
      <color rgb="FF0A0A0A"/>
      <name val="&quot;Google Sans&quot;"/>
    </font>
    <font>
      <sz val="11.0"/>
      <color rgb="FF56595E"/>
      <name val="&quot;Google Sans&quot;"/>
    </font>
    <font>
      <b/>
      <sz val="12.0"/>
      <color rgb="FF000078"/>
      <name val="Arial"/>
    </font>
    <font>
      <sz val="12.0"/>
      <color rgb="FF000078"/>
      <name val="Arial"/>
    </font>
    <font/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  <fill>
      <patternFill patternType="solid">
        <fgColor rgb="FFE9EBF0"/>
        <bgColor rgb="FFE9EBF0"/>
      </patternFill>
    </fill>
  </fills>
  <borders count="2">
    <border/>
    <border>
      <bottom style="thin">
        <color rgb="FF000078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shrinkToFit="0" wrapText="1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5" numFmtId="0" xfId="0" applyFill="1" applyFont="1"/>
    <xf borderId="0" fillId="4" fontId="6" numFmtId="0" xfId="0" applyAlignment="1" applyFill="1" applyFont="1">
      <alignment shrinkToFit="0" wrapText="0"/>
    </xf>
    <xf borderId="0" fillId="0" fontId="1" numFmtId="0" xfId="0" applyAlignment="1" applyFont="1">
      <alignment vertical="bottom"/>
    </xf>
    <xf borderId="1" fillId="2" fontId="7" numFmtId="0" xfId="0" applyBorder="1" applyFont="1"/>
    <xf borderId="0" fillId="2" fontId="8" numFmtId="0" xfId="0" applyAlignment="1" applyFont="1">
      <alignment vertical="top"/>
    </xf>
    <xf borderId="1" fillId="2" fontId="8" numFmtId="0" xfId="0" applyBorder="1" applyFont="1"/>
    <xf borderId="0" fillId="2" fontId="8" numFmtId="0" xfId="0" applyAlignment="1" applyFont="1">
      <alignment horizontal="right" vertical="top"/>
    </xf>
    <xf borderId="1" fillId="0" fontId="9" numFmtId="0" xfId="0" applyBorder="1" applyFont="1"/>
    <xf borderId="0" fillId="0" fontId="8" numFmtId="0" xfId="0" applyFont="1"/>
    <xf borderId="0" fillId="0" fontId="10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Cursa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tal Asignatur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7" displayName="Cursadas" name="Cursadas" id="1">
  <autoFilter ref="$A$3:$G$17"/>
  <tableColumns count="7">
    <tableColumn name="Asignatura" id="1"/>
    <tableColumn name="Tipo" id="2"/>
    <tableColumn name="Aprobada" id="3"/>
    <tableColumn name="Convalidada" id="4"/>
    <tableColumn name="Cursando Actualmente" id="5"/>
    <tableColumn name="Creditos" id="6"/>
    <tableColumn name="Fecha" id="7"/>
  </tableColumns>
  <tableStyleInfo name="Cursadas-style" showColumnStripes="0" showFirstColumn="1" showLastColumn="1" showRowStripes="1"/>
</table>
</file>

<file path=xl/tables/table2.xml><?xml version="1.0" encoding="utf-8"?>
<table xmlns="http://schemas.openxmlformats.org/spreadsheetml/2006/main" ref="A1:A57" displayName="Total_" name="Total_" id="2">
  <autoFilter ref="$A$1:$A$57"/>
  <tableColumns count="1">
    <tableColumn name="Total Asignatutas" id="1"/>
  </tableColumns>
  <tableStyleInfo name="Total Asignatu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12.63"/>
    <col customWidth="1" min="3" max="3" width="16.38"/>
    <col customWidth="1" min="4" max="4" width="18.0"/>
    <col customWidth="1" min="5" max="5" width="16.38"/>
    <col customWidth="1" min="6" max="9" width="12.63"/>
    <col customWidth="1" min="14" max="14" width="15.88"/>
  </cols>
  <sheetData>
    <row r="1" ht="15.75" customHeight="1">
      <c r="A1" s="1" t="s">
        <v>0</v>
      </c>
    </row>
    <row r="2" ht="15.75" customHeight="1">
      <c r="A2" s="2"/>
      <c r="B2" s="2"/>
      <c r="C2" s="2"/>
      <c r="D2" s="2"/>
      <c r="E2" s="2"/>
      <c r="F2" s="2"/>
      <c r="G2" s="2"/>
      <c r="K2" s="1"/>
      <c r="L2" s="2" t="s">
        <v>1</v>
      </c>
      <c r="M2" s="2" t="s">
        <v>2</v>
      </c>
      <c r="N2" s="2" t="s">
        <v>3</v>
      </c>
      <c r="O2" s="2" t="s">
        <v>4</v>
      </c>
    </row>
    <row r="3" ht="15.75" customHeight="1">
      <c r="A3" s="3" t="s">
        <v>5</v>
      </c>
      <c r="B3" s="3" t="s">
        <v>6</v>
      </c>
      <c r="C3" s="4" t="s">
        <v>7</v>
      </c>
      <c r="D3" s="4" t="s">
        <v>8</v>
      </c>
      <c r="E3" s="3" t="s">
        <v>9</v>
      </c>
      <c r="F3" s="4" t="s">
        <v>10</v>
      </c>
      <c r="G3" s="3" t="s">
        <v>11</v>
      </c>
      <c r="K3" s="5" t="s">
        <v>12</v>
      </c>
      <c r="L3" s="6">
        <f>SUMIFS(Cursadas[[#ALL],[Creditos]], Cursadas[[#ALL],[Aprobada]], TRUE, Cursadas[[#ALL],[Tipo]], K3)</f>
        <v>6</v>
      </c>
      <c r="M3" s="1">
        <f>SUMIFS(Cursadas[[#ALL],[Creditos]], Cursadas[[#ALL],[Convalidada]], TRUE, Cursadas[[#ALL],[Tipo]], K3)</f>
        <v>18</v>
      </c>
      <c r="N3" s="1">
        <v>60.0</v>
      </c>
      <c r="O3" s="6">
        <f t="shared" ref="O3:O5" si="1">N3-M3-L3</f>
        <v>36</v>
      </c>
    </row>
    <row r="4" ht="15.75" customHeight="1">
      <c r="A4" s="7" t="s">
        <v>13</v>
      </c>
      <c r="B4" s="8" t="str">
        <f t="array" ref="B4">VLOOKUP(A4, {Optativas!A:B; Obligatorias!A:B;Basicas!A:B}, 2, FALSE)
</f>
        <v>Básica</v>
      </c>
      <c r="C4" s="9" t="b">
        <v>1</v>
      </c>
      <c r="D4" s="9" t="b">
        <v>0</v>
      </c>
      <c r="E4" s="9" t="b">
        <v>0</v>
      </c>
      <c r="F4" s="8">
        <f t="array" ref="F4">VLOOKUP(A4, {Optativas!A:C; Obligatorias!A:C;Basicas!A:C}, 3, FALSE)
</f>
        <v>6</v>
      </c>
      <c r="K4" s="5" t="s">
        <v>14</v>
      </c>
      <c r="L4" s="6">
        <f>SUMIFS(Cursadas[[#ALL],[Creditos]], Cursadas[[#ALL],[Aprobada]], TRUE, Cursadas[[#ALL],[Tipo]], K4)</f>
        <v>6</v>
      </c>
      <c r="M4" s="1">
        <f>SUMIFS(Cursadas[[#ALL],[Creditos]], Cursadas[[#ALL],[Convalidada]], TRUE, Cursadas[[#ALL],[Tipo]], K4)</f>
        <v>24</v>
      </c>
      <c r="N4" s="1">
        <v>144.0</v>
      </c>
      <c r="O4" s="6">
        <f t="shared" si="1"/>
        <v>114</v>
      </c>
    </row>
    <row r="5" ht="15.75" customHeight="1">
      <c r="A5" s="10" t="s">
        <v>15</v>
      </c>
      <c r="B5" s="11" t="str">
        <f t="array" ref="B5">VLOOKUP(A5, {Optativas!A:B; Obligatorias!A:B;Basicas!A:B}, 2, FALSE)
</f>
        <v>Optativa</v>
      </c>
      <c r="C5" s="12" t="b">
        <v>1</v>
      </c>
      <c r="D5" s="12" t="b">
        <v>0</v>
      </c>
      <c r="E5" s="12" t="b">
        <v>0</v>
      </c>
      <c r="F5" s="8">
        <f t="array" ref="F5">VLOOKUP(A5, {Optativas!A:C; Obligatorias!A:C;Basicas!A:C}, 3, FALSE)
</f>
        <v>6</v>
      </c>
      <c r="G5" s="11"/>
      <c r="K5" s="5" t="s">
        <v>16</v>
      </c>
      <c r="L5" s="6">
        <f>SUMIFS(Cursadas[[#ALL],[Creditos]], Cursadas[[#ALL],[Aprobada]], TRUE, Cursadas[[#ALL],[Tipo]], K5)</f>
        <v>6</v>
      </c>
      <c r="M5" s="1">
        <f>SUMIFS(Cursadas[[#ALL],[Creditos]], Cursadas[[#ALL],[Convalidada]], TRUE, Cursadas[[#ALL],[Tipo]], K5)</f>
        <v>18</v>
      </c>
      <c r="N5" s="1">
        <v>36.0</v>
      </c>
      <c r="O5" s="6">
        <f t="shared" si="1"/>
        <v>12</v>
      </c>
    </row>
    <row r="6" ht="15.75" customHeight="1">
      <c r="A6" s="10" t="s">
        <v>17</v>
      </c>
      <c r="B6" s="11" t="str">
        <f t="array" ref="B6">VLOOKUP(A6, {Optativas!A:B; Obligatorias!A:B;Basicas!A:B}, 2, FALSE)
</f>
        <v>Obligatoria</v>
      </c>
      <c r="C6" s="12" t="b">
        <v>1</v>
      </c>
      <c r="D6" s="12" t="b">
        <v>0</v>
      </c>
      <c r="E6" s="12" t="b">
        <v>0</v>
      </c>
      <c r="F6" s="8">
        <f t="array" ref="F6">VLOOKUP(A6, {Optativas!A:C; Obligatorias!A:C;Basicas!A:C}, 3, FALSE)
</f>
        <v>6</v>
      </c>
      <c r="G6" s="11"/>
    </row>
    <row r="7" ht="15.75" customHeight="1">
      <c r="A7" s="10" t="s">
        <v>18</v>
      </c>
      <c r="B7" s="11" t="str">
        <f t="array" ref="B7">VLOOKUP(A7, {Optativas!A:B; Obligatorias!A:B;Basicas!A:B}, 2, FALSE)
</f>
        <v>Básica</v>
      </c>
      <c r="C7" s="12" t="b">
        <v>0</v>
      </c>
      <c r="D7" s="12" t="b">
        <v>1</v>
      </c>
      <c r="E7" s="12" t="b">
        <v>0</v>
      </c>
      <c r="F7" s="8">
        <f t="array" ref="F7">VLOOKUP(A7, {Optativas!A:C; Obligatorias!A:C;Basicas!A:C}, 3, FALSE)
</f>
        <v>6</v>
      </c>
      <c r="G7" s="11"/>
    </row>
    <row r="8" ht="15.75" customHeight="1">
      <c r="A8" s="13" t="s">
        <v>19</v>
      </c>
      <c r="B8" s="11" t="str">
        <f t="array" ref="B8">VLOOKUP(A8, {Optativas!A:B; Obligatorias!A:B;Basicas!A:B}, 2, FALSE)
</f>
        <v>Básica</v>
      </c>
      <c r="C8" s="12" t="b">
        <v>0</v>
      </c>
      <c r="D8" s="12" t="b">
        <v>1</v>
      </c>
      <c r="E8" s="12" t="b">
        <v>0</v>
      </c>
      <c r="F8" s="11">
        <f t="array" ref="F8">VLOOKUP(A8, {Optativas!A:C; Obligatorias!A:C;Basicas!A:C}, 3, FALSE)
</f>
        <v>6</v>
      </c>
      <c r="G8" s="11"/>
    </row>
    <row r="9" ht="15.75" customHeight="1">
      <c r="A9" s="13" t="s">
        <v>20</v>
      </c>
      <c r="B9" s="11" t="str">
        <f t="array" ref="B9">VLOOKUP(A9, {Optativas!A:B; Obligatorias!A:B;Basicas!A:B}, 2, FALSE)
</f>
        <v>Básica</v>
      </c>
      <c r="C9" s="12" t="b">
        <v>0</v>
      </c>
      <c r="D9" s="12" t="b">
        <v>1</v>
      </c>
      <c r="E9" s="12" t="b">
        <v>0</v>
      </c>
      <c r="F9" s="11">
        <f t="array" ref="F9">VLOOKUP(A9, {Optativas!A:C; Obligatorias!A:C;Basicas!A:C}, 3, FALSE)
</f>
        <v>6</v>
      </c>
      <c r="G9" s="11"/>
      <c r="L9" s="14"/>
    </row>
    <row r="10" ht="15.75" customHeight="1">
      <c r="A10" s="15" t="s">
        <v>21</v>
      </c>
      <c r="B10" s="11" t="str">
        <f t="array" ref="B10">VLOOKUP(A10, {Optativas!A:B; Obligatorias!A:B;Basicas!A:B}, 2, FALSE)
</f>
        <v>Obligatoria</v>
      </c>
      <c r="C10" s="12" t="b">
        <v>0</v>
      </c>
      <c r="D10" s="12" t="b">
        <v>1</v>
      </c>
      <c r="E10" s="12" t="b">
        <v>0</v>
      </c>
      <c r="F10" s="11">
        <f t="array" ref="F10">VLOOKUP(A10, {Optativas!A:C; Obligatorias!A:C;Basicas!A:C}, 3, FALSE)
</f>
        <v>6</v>
      </c>
      <c r="G10" s="11"/>
      <c r="L10" s="14"/>
    </row>
    <row r="11" ht="15.75" customHeight="1">
      <c r="A11" s="15" t="s">
        <v>22</v>
      </c>
      <c r="B11" s="11" t="str">
        <f t="array" ref="B11">VLOOKUP(A11, {Optativas!A:B; Obligatorias!A:B;Basicas!A:B}, 2, FALSE)
</f>
        <v>Obligatoria</v>
      </c>
      <c r="C11" s="12" t="b">
        <v>0</v>
      </c>
      <c r="D11" s="12" t="b">
        <v>1</v>
      </c>
      <c r="E11" s="12" t="b">
        <v>0</v>
      </c>
      <c r="F11" s="11">
        <f t="array" ref="F11">VLOOKUP(A11, {Optativas!A:C; Obligatorias!A:C;Basicas!A:C}, 3, FALSE)
</f>
        <v>6</v>
      </c>
      <c r="G11" s="11"/>
    </row>
    <row r="12" ht="15.75" customHeight="1">
      <c r="A12" s="15" t="s">
        <v>23</v>
      </c>
      <c r="B12" s="11" t="str">
        <f t="array" ref="B12">VLOOKUP(A12, {Optativas!A:B; Obligatorias!A:B;Basicas!A:B}, 2, FALSE)
</f>
        <v>Obligatoria</v>
      </c>
      <c r="C12" s="12" t="b">
        <v>0</v>
      </c>
      <c r="D12" s="12" t="b">
        <v>1</v>
      </c>
      <c r="E12" s="12" t="b">
        <v>0</v>
      </c>
      <c r="F12" s="11">
        <f t="array" ref="F12">VLOOKUP(A12, {Optativas!A:C; Obligatorias!A:C;Basicas!A:C}, 3, FALSE)
</f>
        <v>6</v>
      </c>
      <c r="G12" s="11"/>
    </row>
    <row r="13" ht="15.75" customHeight="1">
      <c r="A13" s="15" t="s">
        <v>24</v>
      </c>
      <c r="B13" s="11" t="str">
        <f t="array" ref="B13">VLOOKUP(A13, {Optativas!A:B; Obligatorias!A:B;Basicas!A:B}, 2, FALSE)
</f>
        <v>Obligatoria</v>
      </c>
      <c r="C13" s="12" t="b">
        <v>0</v>
      </c>
      <c r="D13" s="12" t="b">
        <v>1</v>
      </c>
      <c r="E13" s="12" t="b">
        <v>0</v>
      </c>
      <c r="F13" s="11">
        <f t="array" ref="F13">VLOOKUP(A13, {Optativas!A:C; Obligatorias!A:C;Basicas!A:C}, 3, FALSE)
</f>
        <v>6</v>
      </c>
      <c r="G13" s="11"/>
    </row>
    <row r="14" ht="15.75" customHeight="1">
      <c r="A14" s="16" t="s">
        <v>25</v>
      </c>
      <c r="B14" s="11" t="str">
        <f t="array" ref="B14">VLOOKUP(A14, {Optativas!A:B; Obligatorias!A:B;Basicas!A:B}, 2, FALSE)
</f>
        <v>Optativa</v>
      </c>
      <c r="C14" s="12" t="b">
        <v>0</v>
      </c>
      <c r="D14" s="12" t="b">
        <v>1</v>
      </c>
      <c r="E14" s="12" t="b">
        <v>0</v>
      </c>
      <c r="F14" s="11">
        <f t="array" ref="F14">VLOOKUP(A14, {Optativas!A:C; Obligatorias!A:C;Basicas!A:C}, 3, FALSE)
</f>
        <v>12</v>
      </c>
      <c r="G14" s="11"/>
    </row>
    <row r="15" ht="15.75" customHeight="1">
      <c r="A15" s="16" t="s">
        <v>26</v>
      </c>
      <c r="B15" s="11" t="str">
        <f t="array" ref="B15">VLOOKUP(A15, {Optativas!A:B; Obligatorias!A:B;Basicas!A:B}, 2, FALSE)
</f>
        <v>Optativa</v>
      </c>
      <c r="C15" s="12" t="b">
        <v>0</v>
      </c>
      <c r="D15" s="12" t="b">
        <v>1</v>
      </c>
      <c r="E15" s="12" t="b">
        <v>0</v>
      </c>
      <c r="F15" s="11">
        <f t="array" ref="F15">VLOOKUP(A15, {Optativas!A:C; Obligatorias!A:C;Basicas!A:C}, 3, FALSE)
</f>
        <v>6</v>
      </c>
      <c r="G15" s="11"/>
    </row>
    <row r="16" ht="15.75" customHeight="1">
      <c r="A16" s="17" t="s">
        <v>27</v>
      </c>
      <c r="B16" s="11" t="str">
        <f t="array" ref="B16">VLOOKUP(A16, {Optativas!A:B; Obligatorias!A:B;Basicas!A:B}, 2, FALSE)
</f>
        <v>Básica</v>
      </c>
      <c r="C16" s="12" t="b">
        <v>0</v>
      </c>
      <c r="D16" s="12" t="b">
        <v>0</v>
      </c>
      <c r="E16" s="12" t="b">
        <v>0</v>
      </c>
      <c r="F16" s="11">
        <f t="array" ref="F16">VLOOKUP(A16, {Optativas!A:C; Obligatorias!A:C;Basicas!A:C}, 3, FALSE)
</f>
        <v>6</v>
      </c>
      <c r="G16" s="11"/>
    </row>
    <row r="17" ht="15.75" customHeight="1">
      <c r="A17" s="18"/>
      <c r="B17" s="11" t="str">
        <f t="array" ref="B17">VLOOKUP(A17, {Optativas!A:B; Obligatorias!A:B;Basicas!A:B}, 2, FALSE)
</f>
        <v>#N/A</v>
      </c>
      <c r="C17" s="12" t="b">
        <v>0</v>
      </c>
      <c r="D17" s="12" t="b">
        <v>0</v>
      </c>
      <c r="E17" s="12" t="b">
        <v>0</v>
      </c>
      <c r="F17" s="11" t="str">
        <f t="array" ref="F17">VLOOKUP(A17, {Optativas!A:C; Obligatorias!A:C;Basicas!A:C}, 3, FALSE)
</f>
        <v>#N/A</v>
      </c>
      <c r="G17" s="11"/>
    </row>
    <row r="18" ht="15.75" customHeight="1"/>
    <row r="19" ht="15.75" customHeight="1">
      <c r="A19" s="19"/>
    </row>
    <row r="20" ht="15.75" customHeight="1">
      <c r="A20" s="20"/>
    </row>
    <row r="21" ht="15.75" customHeight="1">
      <c r="A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4:A17">
    <cfRule type="expression" dxfId="5" priority="1">
      <formula>"COUNTIF(INDIRECT("'Total Asignaturas'!D:D"); A1)&gt;0"</formula>
    </cfRule>
  </conditionalFormatting>
  <dataValidations>
    <dataValidation type="list" allowBlank="1" sqref="A4:A17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0"/>
    <col customWidth="1" min="2" max="6" width="12.63"/>
  </cols>
  <sheetData>
    <row r="1" ht="15.75" customHeight="1">
      <c r="A1" s="13" t="s">
        <v>28</v>
      </c>
      <c r="B1" s="1" t="s">
        <v>12</v>
      </c>
      <c r="C1" s="1">
        <v>6.0</v>
      </c>
      <c r="E1" s="1" t="s">
        <v>29</v>
      </c>
      <c r="F1" s="1" t="s">
        <v>30</v>
      </c>
      <c r="G1" s="1" t="s">
        <v>31</v>
      </c>
      <c r="H1" s="1" t="s">
        <v>32</v>
      </c>
    </row>
    <row r="2" ht="15.75" customHeight="1">
      <c r="A2" s="13" t="s">
        <v>27</v>
      </c>
      <c r="B2" s="1" t="s">
        <v>12</v>
      </c>
      <c r="C2" s="1">
        <v>6.0</v>
      </c>
      <c r="E2" s="1" t="s">
        <v>33</v>
      </c>
      <c r="F2" s="1" t="s">
        <v>30</v>
      </c>
      <c r="G2" s="1" t="s">
        <v>31</v>
      </c>
      <c r="H2" s="1" t="s">
        <v>34</v>
      </c>
    </row>
    <row r="3" ht="15.75" customHeight="1">
      <c r="A3" s="13" t="s">
        <v>35</v>
      </c>
      <c r="B3" s="1" t="s">
        <v>12</v>
      </c>
      <c r="C3" s="1">
        <v>6.0</v>
      </c>
      <c r="E3" s="1" t="s">
        <v>33</v>
      </c>
      <c r="F3" s="1" t="s">
        <v>30</v>
      </c>
      <c r="G3" s="1" t="s">
        <v>27</v>
      </c>
    </row>
    <row r="4" ht="15.75" customHeight="1">
      <c r="A4" s="13" t="s">
        <v>36</v>
      </c>
      <c r="B4" s="1" t="s">
        <v>12</v>
      </c>
      <c r="C4" s="1">
        <v>6.0</v>
      </c>
      <c r="E4" s="1" t="s">
        <v>33</v>
      </c>
      <c r="F4" s="1" t="s">
        <v>30</v>
      </c>
      <c r="G4" s="1" t="s">
        <v>27</v>
      </c>
    </row>
    <row r="5" ht="15.75" customHeight="1">
      <c r="A5" s="13" t="s">
        <v>37</v>
      </c>
      <c r="B5" s="1" t="s">
        <v>12</v>
      </c>
      <c r="C5" s="1">
        <v>6.0</v>
      </c>
      <c r="E5" s="1" t="s">
        <v>38</v>
      </c>
      <c r="F5" s="1" t="s">
        <v>30</v>
      </c>
      <c r="G5" s="1" t="s">
        <v>31</v>
      </c>
      <c r="H5" s="1" t="s">
        <v>34</v>
      </c>
    </row>
    <row r="6" ht="15.75" customHeight="1">
      <c r="A6" s="13" t="s">
        <v>18</v>
      </c>
      <c r="B6" s="1" t="s">
        <v>12</v>
      </c>
      <c r="C6" s="1">
        <v>6.0</v>
      </c>
      <c r="E6" s="1" t="s">
        <v>38</v>
      </c>
      <c r="F6" s="1" t="s">
        <v>30</v>
      </c>
      <c r="G6" s="1" t="s">
        <v>31</v>
      </c>
      <c r="H6" s="1" t="s">
        <v>39</v>
      </c>
    </row>
    <row r="7" ht="15.75" customHeight="1">
      <c r="A7" s="13" t="s">
        <v>40</v>
      </c>
      <c r="B7" s="1" t="s">
        <v>12</v>
      </c>
      <c r="C7" s="1">
        <v>6.0</v>
      </c>
      <c r="E7" s="1" t="s">
        <v>41</v>
      </c>
      <c r="F7" s="1" t="s">
        <v>30</v>
      </c>
      <c r="G7" s="1" t="s">
        <v>42</v>
      </c>
      <c r="H7" s="1" t="s">
        <v>32</v>
      </c>
    </row>
    <row r="8" ht="15.75" customHeight="1"/>
    <row r="9" ht="15.75" customHeight="1">
      <c r="A9" s="13" t="s">
        <v>13</v>
      </c>
      <c r="B9" s="1" t="s">
        <v>12</v>
      </c>
      <c r="C9" s="1">
        <v>6.0</v>
      </c>
      <c r="E9" s="1" t="s">
        <v>38</v>
      </c>
      <c r="F9" s="1" t="s">
        <v>30</v>
      </c>
      <c r="H9" s="1" t="s">
        <v>43</v>
      </c>
    </row>
    <row r="10" ht="15.75" customHeight="1">
      <c r="A10" s="13" t="s">
        <v>19</v>
      </c>
      <c r="B10" s="1" t="s">
        <v>12</v>
      </c>
      <c r="C10" s="1">
        <v>6.0</v>
      </c>
      <c r="E10" s="1" t="s">
        <v>38</v>
      </c>
      <c r="F10" s="1" t="s">
        <v>30</v>
      </c>
      <c r="G10" s="1" t="s">
        <v>18</v>
      </c>
      <c r="H10" s="1" t="s">
        <v>43</v>
      </c>
    </row>
    <row r="11" ht="15.75" customHeight="1">
      <c r="A11" s="13" t="s">
        <v>20</v>
      </c>
      <c r="B11" s="1" t="s">
        <v>12</v>
      </c>
      <c r="C11" s="1">
        <v>6.0</v>
      </c>
      <c r="E11" s="1" t="s">
        <v>38</v>
      </c>
      <c r="F11" s="1" t="s">
        <v>30</v>
      </c>
      <c r="G11" s="1" t="s">
        <v>18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7:A8"/>
    <mergeCell ref="B7:B8"/>
    <mergeCell ref="C7:C8"/>
    <mergeCell ref="D7:D8"/>
    <mergeCell ref="E7:E8"/>
    <mergeCell ref="F7:F8"/>
    <mergeCell ref="G7:G8"/>
    <mergeCell ref="H7:H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7" max="7" width="30.5"/>
  </cols>
  <sheetData>
    <row r="1">
      <c r="A1" s="16" t="s">
        <v>15</v>
      </c>
      <c r="B1" s="6" t="s">
        <v>16</v>
      </c>
      <c r="C1" s="6">
        <v>6.0</v>
      </c>
      <c r="D1" s="6" t="s">
        <v>23</v>
      </c>
      <c r="F1" s="6" t="s">
        <v>30</v>
      </c>
      <c r="G1" s="6" t="s">
        <v>44</v>
      </c>
    </row>
    <row r="2">
      <c r="G2" s="6" t="s">
        <v>45</v>
      </c>
    </row>
    <row r="3">
      <c r="A3" s="16" t="s">
        <v>46</v>
      </c>
      <c r="B3" s="6" t="s">
        <v>16</v>
      </c>
      <c r="C3" s="6">
        <v>6.0</v>
      </c>
      <c r="D3" s="6" t="s">
        <v>47</v>
      </c>
      <c r="F3" s="6" t="s">
        <v>48</v>
      </c>
      <c r="G3" s="6" t="s">
        <v>49</v>
      </c>
    </row>
    <row r="4">
      <c r="A4" s="16" t="s">
        <v>50</v>
      </c>
      <c r="B4" s="6" t="s">
        <v>16</v>
      </c>
      <c r="C4" s="6">
        <v>6.0</v>
      </c>
      <c r="D4" s="6" t="s">
        <v>51</v>
      </c>
      <c r="F4" s="6" t="s">
        <v>48</v>
      </c>
      <c r="G4" s="6" t="s">
        <v>52</v>
      </c>
    </row>
    <row r="5">
      <c r="A5" s="16" t="s">
        <v>53</v>
      </c>
      <c r="B5" s="6" t="s">
        <v>16</v>
      </c>
      <c r="C5" s="6">
        <v>6.0</v>
      </c>
      <c r="D5" s="6" t="s">
        <v>54</v>
      </c>
      <c r="F5" s="6" t="s">
        <v>55</v>
      </c>
      <c r="G5" s="6" t="s">
        <v>56</v>
      </c>
    </row>
    <row r="6">
      <c r="A6" s="16" t="s">
        <v>52</v>
      </c>
      <c r="B6" s="6" t="s">
        <v>16</v>
      </c>
      <c r="C6" s="6">
        <v>6.0</v>
      </c>
      <c r="D6" s="6" t="s">
        <v>51</v>
      </c>
      <c r="F6" s="6" t="s">
        <v>55</v>
      </c>
      <c r="G6" s="6" t="s">
        <v>57</v>
      </c>
    </row>
    <row r="7">
      <c r="A7" s="16" t="s">
        <v>58</v>
      </c>
      <c r="B7" s="6" t="s">
        <v>16</v>
      </c>
      <c r="C7" s="6">
        <v>6.0</v>
      </c>
      <c r="D7" s="6" t="s">
        <v>47</v>
      </c>
      <c r="F7" s="6" t="s">
        <v>48</v>
      </c>
      <c r="G7" s="6" t="s">
        <v>27</v>
      </c>
    </row>
    <row r="8">
      <c r="G8" s="6" t="s">
        <v>59</v>
      </c>
    </row>
    <row r="9">
      <c r="A9" s="16" t="s">
        <v>60</v>
      </c>
      <c r="B9" s="6" t="s">
        <v>16</v>
      </c>
      <c r="C9" s="6">
        <v>6.0</v>
      </c>
      <c r="D9" s="6" t="s">
        <v>54</v>
      </c>
      <c r="F9" s="6" t="s">
        <v>55</v>
      </c>
      <c r="G9" s="6" t="s">
        <v>61</v>
      </c>
    </row>
    <row r="10">
      <c r="A10" s="16" t="s">
        <v>62</v>
      </c>
      <c r="B10" s="6" t="s">
        <v>16</v>
      </c>
      <c r="C10" s="6">
        <v>6.0</v>
      </c>
      <c r="D10" s="6" t="s">
        <v>47</v>
      </c>
      <c r="F10" s="6" t="s">
        <v>55</v>
      </c>
      <c r="G10" s="6" t="s">
        <v>58</v>
      </c>
    </row>
    <row r="11">
      <c r="G11" s="6" t="s">
        <v>63</v>
      </c>
    </row>
    <row r="12">
      <c r="G12" s="6" t="s">
        <v>22</v>
      </c>
    </row>
    <row r="13">
      <c r="A13" s="16" t="s">
        <v>64</v>
      </c>
      <c r="B13" s="6" t="s">
        <v>16</v>
      </c>
      <c r="C13" s="6">
        <v>6.0</v>
      </c>
      <c r="F13" s="6" t="s">
        <v>48</v>
      </c>
      <c r="G13" s="6" t="s">
        <v>27</v>
      </c>
    </row>
    <row r="14">
      <c r="G14" s="6" t="s">
        <v>44</v>
      </c>
    </row>
    <row r="15">
      <c r="G15" s="6" t="s">
        <v>59</v>
      </c>
    </row>
    <row r="16">
      <c r="A16" s="16" t="s">
        <v>65</v>
      </c>
      <c r="B16" s="6" t="s">
        <v>16</v>
      </c>
      <c r="C16" s="6">
        <v>6.0</v>
      </c>
      <c r="D16" s="6" t="s">
        <v>66</v>
      </c>
      <c r="F16" s="6" t="s">
        <v>55</v>
      </c>
      <c r="G16" s="6" t="s">
        <v>67</v>
      </c>
    </row>
    <row r="17">
      <c r="G17" s="6" t="s">
        <v>68</v>
      </c>
    </row>
    <row r="18">
      <c r="A18" s="16" t="s">
        <v>69</v>
      </c>
      <c r="B18" s="6" t="s">
        <v>16</v>
      </c>
      <c r="C18" s="6">
        <v>6.0</v>
      </c>
      <c r="D18" s="6" t="s">
        <v>23</v>
      </c>
      <c r="F18" s="6" t="s">
        <v>30</v>
      </c>
      <c r="G18" s="6" t="s">
        <v>44</v>
      </c>
    </row>
    <row r="19">
      <c r="D19" s="6" t="s">
        <v>47</v>
      </c>
      <c r="G19" s="6" t="s">
        <v>59</v>
      </c>
    </row>
    <row r="20">
      <c r="A20" s="16" t="s">
        <v>70</v>
      </c>
      <c r="B20" s="6" t="s">
        <v>16</v>
      </c>
      <c r="C20" s="6">
        <v>6.0</v>
      </c>
      <c r="D20" s="6" t="s">
        <v>51</v>
      </c>
      <c r="F20" s="6" t="s">
        <v>55</v>
      </c>
      <c r="G20" s="6" t="s">
        <v>57</v>
      </c>
    </row>
    <row r="21">
      <c r="A21" s="16" t="s">
        <v>71</v>
      </c>
      <c r="B21" s="6" t="s">
        <v>16</v>
      </c>
      <c r="C21" s="6">
        <v>6.0</v>
      </c>
      <c r="D21" s="6" t="s">
        <v>54</v>
      </c>
      <c r="F21" s="6" t="s">
        <v>48</v>
      </c>
      <c r="G21" s="6" t="s">
        <v>72</v>
      </c>
    </row>
    <row r="22">
      <c r="G22" s="6" t="s">
        <v>73</v>
      </c>
    </row>
    <row r="23">
      <c r="A23" s="16" t="s">
        <v>74</v>
      </c>
      <c r="B23" s="6" t="s">
        <v>16</v>
      </c>
      <c r="C23" s="6">
        <v>6.0</v>
      </c>
      <c r="D23" s="6" t="s">
        <v>23</v>
      </c>
      <c r="F23" s="6" t="s">
        <v>55</v>
      </c>
      <c r="G23" s="6" t="s">
        <v>45</v>
      </c>
    </row>
    <row r="24">
      <c r="A24" s="16" t="s">
        <v>75</v>
      </c>
      <c r="B24" s="6" t="s">
        <v>16</v>
      </c>
      <c r="C24" s="6">
        <v>6.0</v>
      </c>
      <c r="D24" s="6" t="s">
        <v>23</v>
      </c>
      <c r="F24" s="6" t="s">
        <v>48</v>
      </c>
      <c r="G24" s="6" t="s">
        <v>76</v>
      </c>
      <c r="J24" s="16"/>
    </row>
    <row r="25">
      <c r="G25" s="6" t="s">
        <v>45</v>
      </c>
    </row>
    <row r="26">
      <c r="A26" s="16" t="s">
        <v>73</v>
      </c>
      <c r="B26" s="6" t="s">
        <v>16</v>
      </c>
      <c r="C26" s="6">
        <v>6.0</v>
      </c>
      <c r="D26" s="6" t="s">
        <v>51</v>
      </c>
      <c r="F26" s="6" t="s">
        <v>48</v>
      </c>
      <c r="G26" s="6" t="s">
        <v>77</v>
      </c>
    </row>
    <row r="27">
      <c r="A27" s="16" t="s">
        <v>78</v>
      </c>
      <c r="B27" s="6" t="s">
        <v>16</v>
      </c>
      <c r="C27" s="6">
        <v>6.0</v>
      </c>
      <c r="D27" s="6" t="s">
        <v>54</v>
      </c>
      <c r="F27" s="6" t="s">
        <v>55</v>
      </c>
      <c r="G27" s="6" t="s">
        <v>79</v>
      </c>
      <c r="J27" s="16"/>
    </row>
    <row r="28">
      <c r="D28" s="6" t="s">
        <v>66</v>
      </c>
    </row>
    <row r="29">
      <c r="A29" s="16" t="s">
        <v>80</v>
      </c>
      <c r="B29" s="6" t="s">
        <v>16</v>
      </c>
      <c r="C29" s="6">
        <v>6.0</v>
      </c>
      <c r="D29" s="6" t="s">
        <v>66</v>
      </c>
      <c r="F29" s="6" t="s">
        <v>48</v>
      </c>
      <c r="G29" s="6" t="s">
        <v>78</v>
      </c>
    </row>
    <row r="30">
      <c r="A30" s="16" t="s">
        <v>81</v>
      </c>
      <c r="B30" s="6" t="s">
        <v>16</v>
      </c>
      <c r="C30" s="6">
        <v>6.0</v>
      </c>
      <c r="F30" s="6" t="s">
        <v>30</v>
      </c>
      <c r="G30" s="6" t="s">
        <v>31</v>
      </c>
    </row>
    <row r="31">
      <c r="A31" s="16" t="s">
        <v>26</v>
      </c>
      <c r="B31" s="6" t="s">
        <v>16</v>
      </c>
      <c r="C31" s="6">
        <v>6.0</v>
      </c>
      <c r="D31" s="6" t="s">
        <v>66</v>
      </c>
      <c r="F31" s="6" t="s">
        <v>55</v>
      </c>
      <c r="G31" s="6" t="s">
        <v>79</v>
      </c>
    </row>
    <row r="32">
      <c r="A32" s="16" t="s">
        <v>82</v>
      </c>
      <c r="B32" s="6" t="s">
        <v>16</v>
      </c>
      <c r="C32" s="6">
        <v>6.0</v>
      </c>
      <c r="D32" s="6" t="s">
        <v>54</v>
      </c>
      <c r="F32" s="6" t="s">
        <v>48</v>
      </c>
      <c r="G32" s="6" t="s">
        <v>78</v>
      </c>
    </row>
    <row r="33">
      <c r="D33" s="6" t="s">
        <v>66</v>
      </c>
    </row>
    <row r="34">
      <c r="A34" s="16" t="s">
        <v>83</v>
      </c>
      <c r="B34" s="6" t="s">
        <v>16</v>
      </c>
      <c r="C34" s="6">
        <v>6.0</v>
      </c>
      <c r="D34" s="6" t="s">
        <v>47</v>
      </c>
      <c r="F34" s="6" t="s">
        <v>30</v>
      </c>
      <c r="G34" s="6" t="s">
        <v>36</v>
      </c>
    </row>
    <row r="35">
      <c r="G35" s="6" t="s">
        <v>61</v>
      </c>
    </row>
    <row r="36">
      <c r="G36" s="6" t="s">
        <v>18</v>
      </c>
    </row>
    <row r="37">
      <c r="A37" s="16" t="s">
        <v>25</v>
      </c>
      <c r="B37" s="6" t="s">
        <v>16</v>
      </c>
      <c r="C37" s="6">
        <v>12.0</v>
      </c>
      <c r="F37" s="6" t="s">
        <v>30</v>
      </c>
      <c r="G37" s="6" t="s">
        <v>84</v>
      </c>
    </row>
    <row r="38">
      <c r="D38" s="6" t="s">
        <v>23</v>
      </c>
      <c r="F38" s="6" t="s">
        <v>55</v>
      </c>
      <c r="G38" s="6" t="s">
        <v>56</v>
      </c>
    </row>
    <row r="39">
      <c r="G39" s="6" t="s">
        <v>85</v>
      </c>
    </row>
    <row r="40">
      <c r="A40" s="16"/>
      <c r="G40" s="6" t="s">
        <v>86</v>
      </c>
    </row>
    <row r="41">
      <c r="A41" s="16"/>
      <c r="G41" s="6" t="s">
        <v>69</v>
      </c>
    </row>
    <row r="42">
      <c r="A42" s="16"/>
      <c r="G42" s="6" t="s">
        <v>87</v>
      </c>
    </row>
    <row r="43">
      <c r="A43" s="16" t="s">
        <v>88</v>
      </c>
      <c r="B43" s="6" t="s">
        <v>16</v>
      </c>
      <c r="C43" s="6">
        <v>6.0</v>
      </c>
      <c r="D43" s="6" t="s">
        <v>47</v>
      </c>
      <c r="F43" s="6" t="s">
        <v>48</v>
      </c>
      <c r="G43" s="6" t="s">
        <v>49</v>
      </c>
    </row>
    <row r="44">
      <c r="A44" s="16" t="s">
        <v>89</v>
      </c>
      <c r="B44" s="6" t="s">
        <v>16</v>
      </c>
      <c r="C44" s="6">
        <v>6.0</v>
      </c>
      <c r="D44" s="6" t="s">
        <v>51</v>
      </c>
      <c r="F44" s="6" t="s">
        <v>48</v>
      </c>
      <c r="G44" s="6" t="s">
        <v>77</v>
      </c>
    </row>
    <row r="45">
      <c r="D45" s="6" t="s">
        <v>54</v>
      </c>
      <c r="G45" s="6" t="s">
        <v>90</v>
      </c>
    </row>
    <row r="46">
      <c r="A46" s="16" t="s">
        <v>91</v>
      </c>
      <c r="B46" s="6" t="s">
        <v>16</v>
      </c>
      <c r="C46" s="6">
        <v>6.0</v>
      </c>
      <c r="D46" s="6" t="s">
        <v>51</v>
      </c>
      <c r="F46" s="6" t="s">
        <v>55</v>
      </c>
      <c r="G46" s="6" t="s">
        <v>77</v>
      </c>
    </row>
    <row r="47">
      <c r="G47" s="6" t="s">
        <v>19</v>
      </c>
    </row>
    <row r="48">
      <c r="A48" s="16" t="s">
        <v>68</v>
      </c>
      <c r="B48" s="6" t="s">
        <v>16</v>
      </c>
      <c r="C48" s="6">
        <v>6.0</v>
      </c>
      <c r="D48" s="6" t="s">
        <v>66</v>
      </c>
      <c r="F48" s="6" t="s">
        <v>48</v>
      </c>
      <c r="G48" s="6" t="s">
        <v>78</v>
      </c>
    </row>
    <row r="49">
      <c r="A49" s="16" t="s">
        <v>92</v>
      </c>
      <c r="B49" s="6" t="s">
        <v>16</v>
      </c>
      <c r="F49" s="6" t="s">
        <v>30</v>
      </c>
      <c r="G49" s="6" t="s">
        <v>93</v>
      </c>
    </row>
    <row r="50">
      <c r="A50" s="16" t="s">
        <v>94</v>
      </c>
      <c r="B50" s="6" t="s">
        <v>14</v>
      </c>
      <c r="C50" s="6">
        <v>12.0</v>
      </c>
      <c r="D50" s="6" t="s">
        <v>51</v>
      </c>
      <c r="F50" s="6" t="s">
        <v>30</v>
      </c>
      <c r="G50" s="6" t="s">
        <v>95</v>
      </c>
    </row>
    <row r="51">
      <c r="D51" s="6" t="s">
        <v>23</v>
      </c>
    </row>
    <row r="52">
      <c r="D52" s="6" t="s">
        <v>47</v>
      </c>
    </row>
    <row r="53">
      <c r="D53" s="6" t="s">
        <v>54</v>
      </c>
    </row>
    <row r="54">
      <c r="D54" s="6" t="s">
        <v>66</v>
      </c>
    </row>
  </sheetData>
  <mergeCells count="47">
    <mergeCell ref="B44:B45"/>
    <mergeCell ref="C44:C45"/>
    <mergeCell ref="A50:A54"/>
    <mergeCell ref="B50:B54"/>
    <mergeCell ref="C50:C54"/>
    <mergeCell ref="A34:A36"/>
    <mergeCell ref="B34:B36"/>
    <mergeCell ref="C34:C36"/>
    <mergeCell ref="A37:A39"/>
    <mergeCell ref="B37:B39"/>
    <mergeCell ref="C37:C39"/>
    <mergeCell ref="A44:A45"/>
    <mergeCell ref="C10:C12"/>
    <mergeCell ref="D10:D12"/>
    <mergeCell ref="A1:A2"/>
    <mergeCell ref="B1:B2"/>
    <mergeCell ref="A7:A8"/>
    <mergeCell ref="B7:B8"/>
    <mergeCell ref="C7:C8"/>
    <mergeCell ref="A10:A12"/>
    <mergeCell ref="B10:B12"/>
    <mergeCell ref="B18:B19"/>
    <mergeCell ref="C18:C19"/>
    <mergeCell ref="A13:A15"/>
    <mergeCell ref="B13:B15"/>
    <mergeCell ref="C13:C15"/>
    <mergeCell ref="A16:A17"/>
    <mergeCell ref="B16:B17"/>
    <mergeCell ref="C16:C17"/>
    <mergeCell ref="A18:A19"/>
    <mergeCell ref="A21:A22"/>
    <mergeCell ref="B21:B22"/>
    <mergeCell ref="C21:C22"/>
    <mergeCell ref="A24:A25"/>
    <mergeCell ref="B24:B25"/>
    <mergeCell ref="C24:C25"/>
    <mergeCell ref="J24:J26"/>
    <mergeCell ref="A27:A28"/>
    <mergeCell ref="B27:B28"/>
    <mergeCell ref="C27:C28"/>
    <mergeCell ref="J27:J29"/>
    <mergeCell ref="A32:A33"/>
    <mergeCell ref="B32:B33"/>
    <mergeCell ref="C32:C33"/>
    <mergeCell ref="A46:A47"/>
    <mergeCell ref="B46:B47"/>
    <mergeCell ref="C46:C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6" width="12.63"/>
  </cols>
  <sheetData>
    <row r="1" ht="15.75" customHeight="1">
      <c r="A1" s="21" t="s">
        <v>72</v>
      </c>
      <c r="B1" s="1" t="s">
        <v>14</v>
      </c>
      <c r="C1" s="1">
        <v>6.0</v>
      </c>
      <c r="F1" s="1" t="s">
        <v>30</v>
      </c>
      <c r="G1" s="1" t="s">
        <v>57</v>
      </c>
    </row>
    <row r="2" ht="15.75" customHeight="1">
      <c r="A2" s="21" t="s">
        <v>17</v>
      </c>
      <c r="B2" s="1" t="s">
        <v>14</v>
      </c>
      <c r="C2" s="1">
        <v>6.0</v>
      </c>
      <c r="F2" s="1" t="s">
        <v>30</v>
      </c>
      <c r="G2" s="1" t="s">
        <v>31</v>
      </c>
    </row>
    <row r="3" ht="15.75" customHeight="1">
      <c r="A3" s="21" t="s">
        <v>21</v>
      </c>
      <c r="B3" s="1" t="s">
        <v>14</v>
      </c>
      <c r="C3" s="1">
        <v>6.0</v>
      </c>
      <c r="F3" s="1" t="s">
        <v>30</v>
      </c>
      <c r="G3" s="1" t="s">
        <v>61</v>
      </c>
    </row>
    <row r="4" ht="15.75" customHeight="1">
      <c r="A4" s="21" t="s">
        <v>22</v>
      </c>
      <c r="B4" s="1" t="s">
        <v>14</v>
      </c>
      <c r="C4" s="1">
        <v>6.0</v>
      </c>
      <c r="F4" s="1" t="s">
        <v>30</v>
      </c>
      <c r="G4" s="1" t="s">
        <v>96</v>
      </c>
    </row>
    <row r="5" ht="15.75" customHeight="1">
      <c r="A5" s="21" t="s">
        <v>23</v>
      </c>
      <c r="B5" s="1" t="s">
        <v>14</v>
      </c>
      <c r="C5" s="1">
        <v>6.0</v>
      </c>
      <c r="F5" s="1" t="s">
        <v>30</v>
      </c>
      <c r="G5" s="1" t="s">
        <v>31</v>
      </c>
    </row>
    <row r="6" ht="15.75" customHeight="1">
      <c r="A6" s="21" t="s">
        <v>97</v>
      </c>
      <c r="B6" s="1" t="s">
        <v>14</v>
      </c>
      <c r="C6" s="1">
        <v>6.0</v>
      </c>
      <c r="F6" s="1" t="s">
        <v>30</v>
      </c>
      <c r="G6" s="1" t="s">
        <v>98</v>
      </c>
    </row>
    <row r="7" ht="15.75" customHeight="1">
      <c r="A7" s="21" t="s">
        <v>99</v>
      </c>
      <c r="B7" s="1" t="s">
        <v>14</v>
      </c>
      <c r="C7" s="1">
        <v>6.0</v>
      </c>
      <c r="F7" s="1" t="s">
        <v>30</v>
      </c>
      <c r="G7" s="1" t="s">
        <v>28</v>
      </c>
    </row>
    <row r="8" ht="15.75" customHeight="1">
      <c r="A8" s="21" t="s">
        <v>59</v>
      </c>
      <c r="B8" s="1" t="s">
        <v>14</v>
      </c>
      <c r="C8" s="1">
        <v>6.0</v>
      </c>
      <c r="F8" s="1" t="s">
        <v>30</v>
      </c>
      <c r="G8" s="1" t="s">
        <v>100</v>
      </c>
    </row>
    <row r="9" ht="15.75" customHeight="1">
      <c r="A9" s="21" t="s">
        <v>101</v>
      </c>
      <c r="B9" s="1" t="s">
        <v>14</v>
      </c>
      <c r="C9" s="1">
        <v>6.0</v>
      </c>
      <c r="F9" s="1" t="s">
        <v>30</v>
      </c>
    </row>
    <row r="10" ht="15.75" customHeight="1">
      <c r="A10" s="21" t="s">
        <v>102</v>
      </c>
      <c r="B10" s="1" t="s">
        <v>14</v>
      </c>
      <c r="C10" s="1">
        <v>6.0</v>
      </c>
      <c r="F10" s="1" t="s">
        <v>30</v>
      </c>
      <c r="G10" s="1" t="s">
        <v>101</v>
      </c>
    </row>
    <row r="11" ht="15.75" customHeight="1">
      <c r="A11" s="21" t="s">
        <v>49</v>
      </c>
      <c r="B11" s="1" t="s">
        <v>14</v>
      </c>
      <c r="C11" s="1">
        <v>6.0</v>
      </c>
      <c r="F11" s="1" t="s">
        <v>30</v>
      </c>
      <c r="G11" s="1" t="s">
        <v>59</v>
      </c>
    </row>
    <row r="12" ht="15.75" customHeight="1">
      <c r="A12" s="21" t="s">
        <v>87</v>
      </c>
      <c r="B12" s="1" t="s">
        <v>14</v>
      </c>
      <c r="C12" s="1">
        <v>6.0</v>
      </c>
      <c r="F12" s="1" t="s">
        <v>30</v>
      </c>
      <c r="G12" s="1" t="s">
        <v>23</v>
      </c>
    </row>
    <row r="13" ht="15.75" customHeight="1">
      <c r="A13" s="21" t="s">
        <v>103</v>
      </c>
      <c r="B13" s="1" t="s">
        <v>14</v>
      </c>
      <c r="C13" s="1">
        <v>6.0</v>
      </c>
      <c r="F13" s="1" t="s">
        <v>30</v>
      </c>
      <c r="G13" s="1" t="s">
        <v>77</v>
      </c>
    </row>
    <row r="14" ht="15.75" customHeight="1">
      <c r="A14" s="21" t="s">
        <v>57</v>
      </c>
      <c r="B14" s="1" t="s">
        <v>14</v>
      </c>
      <c r="C14" s="1">
        <v>6.0</v>
      </c>
      <c r="F14" s="1" t="s">
        <v>30</v>
      </c>
      <c r="G14" s="1" t="s">
        <v>104</v>
      </c>
    </row>
    <row r="15" ht="15.75" customHeight="1">
      <c r="A15" s="21" t="s">
        <v>24</v>
      </c>
      <c r="B15" s="1" t="s">
        <v>14</v>
      </c>
      <c r="C15" s="1">
        <v>6.0</v>
      </c>
      <c r="F15" s="1" t="s">
        <v>30</v>
      </c>
      <c r="G15" s="1" t="s">
        <v>44</v>
      </c>
    </row>
    <row r="16" ht="15.75" customHeight="1">
      <c r="A16" s="21" t="s">
        <v>77</v>
      </c>
      <c r="B16" s="1" t="s">
        <v>14</v>
      </c>
      <c r="C16" s="1">
        <v>6.0</v>
      </c>
      <c r="F16" s="1" t="s">
        <v>30</v>
      </c>
      <c r="G16" s="1" t="s">
        <v>105</v>
      </c>
    </row>
    <row r="17" ht="15.75" customHeight="1">
      <c r="A17" s="21" t="s">
        <v>94</v>
      </c>
      <c r="B17" s="1" t="s">
        <v>14</v>
      </c>
      <c r="C17" s="1">
        <v>12.0</v>
      </c>
      <c r="D17" s="1" t="s">
        <v>106</v>
      </c>
      <c r="F17" s="1" t="s">
        <v>30</v>
      </c>
      <c r="G17" s="1" t="s">
        <v>95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57.25"/>
    <col customWidth="1" min="3" max="6" width="12.63"/>
  </cols>
  <sheetData>
    <row r="1" ht="15.75" customHeight="1">
      <c r="A1" s="22" t="s">
        <v>107</v>
      </c>
      <c r="B1" s="22" t="s">
        <v>108</v>
      </c>
      <c r="C1" s="22" t="s">
        <v>109</v>
      </c>
      <c r="D1" s="2" t="s">
        <v>110</v>
      </c>
      <c r="E1" s="2" t="s">
        <v>111</v>
      </c>
    </row>
    <row r="2" ht="15.75" customHeight="1">
      <c r="A2" s="23" t="s">
        <v>51</v>
      </c>
      <c r="B2" s="24" t="s">
        <v>72</v>
      </c>
      <c r="C2" s="25">
        <v>48.0</v>
      </c>
      <c r="D2" s="6" t="b">
        <f>NOT(ISERROR(MATCH(B2, Cursadas[Asignatura], 0)))
</f>
        <v>0</v>
      </c>
      <c r="E2" s="6" t="b">
        <f t="array" ref="E2">OR(XLOOKUP(B2, Cursadas[Asignatura], Cursadas[Convalidada], FALSE), XLOOKUP(B2, Cursadas[Asignatura], Cursadas[Aprobada], FALSE))</f>
        <v>0</v>
      </c>
    </row>
    <row r="3" ht="15.75" customHeight="1">
      <c r="B3" s="24" t="s">
        <v>52</v>
      </c>
      <c r="D3" s="6" t="b">
        <f>NOT(ISERROR(MATCH(B3, Cursadas[Asignatura], 0)))
</f>
        <v>0</v>
      </c>
      <c r="E3" s="6" t="b">
        <f t="array" ref="E3">OR(XLOOKUP(B3, Cursadas[Asignatura], Cursadas[Convalidada], FALSE), XLOOKUP(B3, Cursadas[Asignatura], Cursadas[Aprobada], FALSE))</f>
        <v>0</v>
      </c>
    </row>
    <row r="4" ht="15.75" customHeight="1">
      <c r="B4" s="24" t="s">
        <v>112</v>
      </c>
      <c r="D4" s="6" t="b">
        <f>NOT(ISERROR(MATCH(B4, Cursadas[Asignatura], 0)))
</f>
        <v>0</v>
      </c>
      <c r="E4" s="6" t="b">
        <f t="array" ref="E4">OR(XLOOKUP(B4, Cursadas[Asignatura], Cursadas[Convalidada], FALSE), XLOOKUP(B4, Cursadas[Asignatura], Cursadas[Aprobada], FALSE))</f>
        <v>0</v>
      </c>
    </row>
    <row r="5" ht="15.75" customHeight="1">
      <c r="B5" s="24" t="s">
        <v>70</v>
      </c>
      <c r="D5" s="6" t="b">
        <f>NOT(ISERROR(MATCH(B5, Cursadas[Asignatura], 0)))
</f>
        <v>0</v>
      </c>
      <c r="E5" s="6" t="b">
        <f t="array" ref="E5">OR(XLOOKUP(B5, Cursadas[Asignatura], Cursadas[Convalidada], FALSE), XLOOKUP(B5, Cursadas[Asignatura], Cursadas[Aprobada], FALSE))</f>
        <v>0</v>
      </c>
    </row>
    <row r="6" ht="15.75" customHeight="1">
      <c r="B6" s="24" t="s">
        <v>73</v>
      </c>
      <c r="D6" s="6" t="b">
        <f>NOT(ISERROR(MATCH(B6, Cursadas[Asignatura], 0)))
</f>
        <v>0</v>
      </c>
      <c r="E6" s="6" t="b">
        <f t="array" ref="E6">OR(XLOOKUP(B6, Cursadas[Asignatura], Cursadas[Convalidada], FALSE), XLOOKUP(B6, Cursadas[Asignatura], Cursadas[Aprobada], FALSE))</f>
        <v>0</v>
      </c>
    </row>
    <row r="7" ht="15.75" customHeight="1">
      <c r="B7" s="24" t="s">
        <v>113</v>
      </c>
      <c r="D7" s="6" t="b">
        <f>NOT(ISERROR(MATCH(B7, Cursadas[Asignatura], 0)))
</f>
        <v>0</v>
      </c>
      <c r="E7" s="6" t="b">
        <f t="array" ref="E7">OR(XLOOKUP(B7, Cursadas[Asignatura], Cursadas[Convalidada], FALSE), XLOOKUP(B7, Cursadas[Asignatura], Cursadas[Aprobada], FALSE))</f>
        <v>0</v>
      </c>
    </row>
    <row r="8" ht="15.75" customHeight="1">
      <c r="B8" s="24" t="s">
        <v>91</v>
      </c>
      <c r="D8" s="6" t="b">
        <f>NOT(ISERROR(MATCH(B8, Cursadas[Asignatura], 0)))
</f>
        <v>0</v>
      </c>
      <c r="E8" s="6" t="b">
        <f t="array" ref="E8">OR(XLOOKUP(B8, Cursadas[Asignatura], Cursadas[Convalidada], FALSE), XLOOKUP(B8, Cursadas[Asignatura], Cursadas[Aprobada], FALSE))</f>
        <v>0</v>
      </c>
    </row>
    <row r="9" ht="15.75" customHeight="1">
      <c r="A9" s="26"/>
      <c r="B9" s="24" t="s">
        <v>103</v>
      </c>
      <c r="C9" s="26"/>
      <c r="D9" s="6" t="b">
        <f>NOT(ISERROR(MATCH(B9, Cursadas[Asignatura], 0)))
</f>
        <v>0</v>
      </c>
      <c r="E9" s="6" t="b">
        <f t="array" ref="E9">OR(XLOOKUP(B9, Cursadas[Asignatura], Cursadas[Convalidada], FALSE), XLOOKUP(B9, Cursadas[Asignatura], Cursadas[Aprobada], FALSE))</f>
        <v>0</v>
      </c>
    </row>
    <row r="10" ht="15.75" customHeight="1">
      <c r="A10" s="23" t="s">
        <v>23</v>
      </c>
      <c r="B10" s="24" t="s">
        <v>76</v>
      </c>
      <c r="C10" s="25">
        <v>48.0</v>
      </c>
      <c r="D10" s="6" t="b">
        <f>NOT(ISERROR(MATCH(B10, Cursadas[Asignatura], 0)))
</f>
        <v>0</v>
      </c>
      <c r="E10" s="6" t="b">
        <f t="array" ref="E10">OR(XLOOKUP(B10, Cursadas[Asignatura], Cursadas[Convalidada], FALSE), XLOOKUP(B10, Cursadas[Asignatura], Cursadas[Aprobada], FALSE))</f>
        <v>0</v>
      </c>
    </row>
    <row r="11" ht="15.75" customHeight="1">
      <c r="B11" s="24" t="s">
        <v>69</v>
      </c>
      <c r="D11" s="6" t="b">
        <f>NOT(ISERROR(MATCH(B11, Cursadas[Asignatura], 0)))
</f>
        <v>0</v>
      </c>
      <c r="E11" s="6" t="b">
        <f t="array" ref="E11">OR(XLOOKUP(B11, Cursadas[Asignatura], Cursadas[Convalidada], FALSE), XLOOKUP(B11, Cursadas[Asignatura], Cursadas[Aprobada], FALSE))</f>
        <v>0</v>
      </c>
    </row>
    <row r="12" ht="15.75" customHeight="1">
      <c r="B12" s="24" t="s">
        <v>23</v>
      </c>
      <c r="D12" s="6" t="b">
        <f>NOT(ISERROR(MATCH(B12, Cursadas[Asignatura], 0)))
</f>
        <v>1</v>
      </c>
      <c r="E12" s="6" t="b">
        <f t="array" ref="E12">OR(XLOOKUP(B12, Cursadas[Asignatura], Cursadas[Convalidada], FALSE), XLOOKUP(B12, Cursadas[Asignatura], Cursadas[Aprobada], FALSE))</f>
        <v>1</v>
      </c>
    </row>
    <row r="13" ht="15.75" customHeight="1">
      <c r="B13" s="24" t="s">
        <v>114</v>
      </c>
      <c r="D13" s="6" t="b">
        <f>NOT(ISERROR(MATCH(B13, Cursadas[Asignatura], 0)))
</f>
        <v>0</v>
      </c>
      <c r="E13" s="6" t="b">
        <f t="array" ref="E13">OR(XLOOKUP(B13, Cursadas[Asignatura], Cursadas[Convalidada], FALSE), XLOOKUP(B13, Cursadas[Asignatura], Cursadas[Aprobada], FALSE))</f>
        <v>0</v>
      </c>
    </row>
    <row r="14" ht="15.75" customHeight="1">
      <c r="B14" s="24" t="s">
        <v>74</v>
      </c>
      <c r="D14" s="6" t="b">
        <f>NOT(ISERROR(MATCH(B14, Cursadas[Asignatura], 0)))
</f>
        <v>0</v>
      </c>
      <c r="E14" s="6" t="b">
        <f t="array" ref="E14">OR(XLOOKUP(B14, Cursadas[Asignatura], Cursadas[Convalidada], FALSE), XLOOKUP(B14, Cursadas[Asignatura], Cursadas[Aprobada], FALSE))</f>
        <v>0</v>
      </c>
    </row>
    <row r="15" ht="15.75" customHeight="1">
      <c r="B15" s="24" t="s">
        <v>87</v>
      </c>
      <c r="D15" s="6" t="b">
        <f>NOT(ISERROR(MATCH(B15, Cursadas[Asignatura], 0)))
</f>
        <v>0</v>
      </c>
      <c r="E15" s="6" t="b">
        <f t="array" ref="E15">OR(XLOOKUP(B15, Cursadas[Asignatura], Cursadas[Convalidada], FALSE), XLOOKUP(B15, Cursadas[Asignatura], Cursadas[Aprobada], FALSE))</f>
        <v>0</v>
      </c>
    </row>
    <row r="16" ht="15.75" customHeight="1">
      <c r="A16" s="26"/>
      <c r="B16" s="24" t="s">
        <v>115</v>
      </c>
      <c r="C16" s="26"/>
      <c r="D16" s="6" t="b">
        <f>NOT(ISERROR(MATCH(B16, Cursadas[Asignatura], 0)))
</f>
        <v>0</v>
      </c>
      <c r="E16" s="6" t="b">
        <f t="array" ref="E16">OR(XLOOKUP(B16, Cursadas[Asignatura], Cursadas[Convalidada], FALSE), XLOOKUP(B16, Cursadas[Asignatura], Cursadas[Aprobada], FALSE))</f>
        <v>0</v>
      </c>
    </row>
    <row r="17" ht="15.75" customHeight="1">
      <c r="A17" s="23" t="s">
        <v>47</v>
      </c>
      <c r="B17" s="24" t="s">
        <v>46</v>
      </c>
      <c r="C17" s="25">
        <v>48.0</v>
      </c>
      <c r="D17" s="6" t="b">
        <f>NOT(ISERROR(MATCH(B17, Cursadas[Asignatura], 0)))
</f>
        <v>0</v>
      </c>
      <c r="E17" s="6" t="b">
        <f t="array" ref="E17">OR(XLOOKUP(B17, Cursadas[Asignatura], Cursadas[Convalidada], FALSE), XLOOKUP(B17, Cursadas[Asignatura], Cursadas[Aprobada], FALSE))</f>
        <v>0</v>
      </c>
    </row>
    <row r="18" ht="15.75" customHeight="1">
      <c r="B18" s="24" t="s">
        <v>58</v>
      </c>
      <c r="D18" s="6" t="b">
        <f>NOT(ISERROR(MATCH(B18, Cursadas[Asignatura], 0)))
</f>
        <v>0</v>
      </c>
      <c r="E18" s="6" t="b">
        <f t="array" ref="E18">OR(XLOOKUP(B18, Cursadas[Asignatura], Cursadas[Convalidada], FALSE), XLOOKUP(B18, Cursadas[Asignatura], Cursadas[Aprobada], FALSE))</f>
        <v>0</v>
      </c>
    </row>
    <row r="19" ht="15.75" customHeight="1">
      <c r="B19" s="24" t="s">
        <v>62</v>
      </c>
      <c r="D19" s="6" t="b">
        <f>NOT(ISERROR(MATCH(B19, Cursadas[Asignatura], 0)))
</f>
        <v>0</v>
      </c>
      <c r="E19" s="6" t="b">
        <f t="array" ref="E19">OR(XLOOKUP(B19, Cursadas[Asignatura], Cursadas[Convalidada], FALSE), XLOOKUP(B19, Cursadas[Asignatura], Cursadas[Aprobada], FALSE))</f>
        <v>0</v>
      </c>
    </row>
    <row r="20" ht="15.75" customHeight="1">
      <c r="B20" s="24" t="s">
        <v>69</v>
      </c>
      <c r="D20" s="6" t="b">
        <f>NOT(ISERROR(MATCH(B20, Cursadas[Asignatura], 0)))
</f>
        <v>0</v>
      </c>
      <c r="E20" s="6" t="b">
        <f t="array" ref="E20">OR(XLOOKUP(B20, Cursadas[Asignatura], Cursadas[Convalidada], FALSE), XLOOKUP(B20, Cursadas[Asignatura], Cursadas[Aprobada], FALSE))</f>
        <v>0</v>
      </c>
    </row>
    <row r="21" ht="15.75" customHeight="1">
      <c r="B21" s="24" t="s">
        <v>59</v>
      </c>
      <c r="D21" s="6" t="b">
        <f>NOT(ISERROR(MATCH(B21, Cursadas[Asignatura], 0)))
</f>
        <v>0</v>
      </c>
      <c r="E21" s="6" t="b">
        <f t="array" ref="E21">OR(XLOOKUP(B21, Cursadas[Asignatura], Cursadas[Convalidada], FALSE), XLOOKUP(B21, Cursadas[Asignatura], Cursadas[Aprobada], FALSE))</f>
        <v>0</v>
      </c>
    </row>
    <row r="22" ht="15.75" customHeight="1">
      <c r="B22" s="24" t="s">
        <v>49</v>
      </c>
      <c r="D22" s="6" t="b">
        <f>NOT(ISERROR(MATCH(B22, Cursadas[Asignatura], 0)))
</f>
        <v>0</v>
      </c>
      <c r="E22" s="6" t="b">
        <f t="array" ref="E22">OR(XLOOKUP(B22, Cursadas[Asignatura], Cursadas[Convalidada], FALSE), XLOOKUP(B22, Cursadas[Asignatura], Cursadas[Aprobada], FALSE))</f>
        <v>0</v>
      </c>
    </row>
    <row r="23" ht="15.75" customHeight="1">
      <c r="B23" s="24" t="s">
        <v>116</v>
      </c>
      <c r="D23" s="6" t="b">
        <f>NOT(ISERROR(MATCH(B23, Cursadas[Asignatura], 0)))
</f>
        <v>0</v>
      </c>
      <c r="E23" s="6" t="b">
        <f t="array" ref="E23">OR(XLOOKUP(B23, Cursadas[Asignatura], Cursadas[Convalidada], FALSE), XLOOKUP(B23, Cursadas[Asignatura], Cursadas[Aprobada], FALSE))</f>
        <v>0</v>
      </c>
    </row>
    <row r="24" ht="15.75" customHeight="1">
      <c r="A24" s="26"/>
      <c r="B24" s="24" t="s">
        <v>88</v>
      </c>
      <c r="C24" s="26"/>
      <c r="D24" s="6" t="b">
        <f>NOT(ISERROR(MATCH(B24, Cursadas[Asignatura], 0)))
</f>
        <v>0</v>
      </c>
      <c r="E24" s="6" t="b">
        <f t="array" ref="E24">OR(XLOOKUP(B24, Cursadas[Asignatura], Cursadas[Convalidada], FALSE), XLOOKUP(B24, Cursadas[Asignatura], Cursadas[Aprobada], FALSE))</f>
        <v>0</v>
      </c>
    </row>
    <row r="25" ht="15.75" customHeight="1">
      <c r="A25" s="23" t="s">
        <v>54</v>
      </c>
      <c r="B25" s="24" t="s">
        <v>72</v>
      </c>
      <c r="C25" s="25">
        <v>48.0</v>
      </c>
      <c r="D25" s="6" t="b">
        <f>NOT(ISERROR(MATCH(B25, Cursadas[Asignatura], 0)))
</f>
        <v>0</v>
      </c>
      <c r="E25" s="6" t="b">
        <f t="array" ref="E25">OR(XLOOKUP(B25, Cursadas[Asignatura], Cursadas[Convalidada], FALSE), XLOOKUP(B25, Cursadas[Asignatura], Cursadas[Aprobada], FALSE))</f>
        <v>0</v>
      </c>
    </row>
    <row r="26" ht="15.75" customHeight="1">
      <c r="B26" s="24" t="s">
        <v>53</v>
      </c>
      <c r="D26" s="6" t="b">
        <f>NOT(ISERROR(MATCH(B26, Cursadas[Asignatura], 0)))
</f>
        <v>0</v>
      </c>
      <c r="E26" s="6" t="b">
        <f t="array" ref="E26">OR(XLOOKUP(B26, Cursadas[Asignatura], Cursadas[Convalidada], FALSE), XLOOKUP(B26, Cursadas[Asignatura], Cursadas[Aprobada], FALSE))</f>
        <v>0</v>
      </c>
    </row>
    <row r="27" ht="15.75" customHeight="1">
      <c r="B27" s="24" t="s">
        <v>60</v>
      </c>
      <c r="D27" s="6" t="b">
        <f>NOT(ISERROR(MATCH(B27, Cursadas[Asignatura], 0)))
</f>
        <v>0</v>
      </c>
      <c r="E27" s="6" t="b">
        <f t="array" ref="E27">OR(XLOOKUP(B27, Cursadas[Asignatura], Cursadas[Convalidada], FALSE), XLOOKUP(B27, Cursadas[Asignatura], Cursadas[Aprobada], FALSE))</f>
        <v>0</v>
      </c>
    </row>
    <row r="28" ht="15.75" customHeight="1">
      <c r="B28" s="24" t="s">
        <v>71</v>
      </c>
      <c r="D28" s="6" t="b">
        <f>NOT(ISERROR(MATCH(B28, Cursadas[Asignatura], 0)))
</f>
        <v>0</v>
      </c>
      <c r="E28" s="6" t="b">
        <f t="array" ref="E28">OR(XLOOKUP(B28, Cursadas[Asignatura], Cursadas[Convalidada], FALSE), XLOOKUP(B28, Cursadas[Asignatura], Cursadas[Aprobada], FALSE))</f>
        <v>0</v>
      </c>
    </row>
    <row r="29" ht="15.75" customHeight="1">
      <c r="B29" s="24" t="s">
        <v>78</v>
      </c>
      <c r="D29" s="6" t="b">
        <f>NOT(ISERROR(MATCH(B29, Cursadas[Asignatura], 0)))
</f>
        <v>0</v>
      </c>
      <c r="E29" s="6" t="b">
        <f t="array" ref="E29">OR(XLOOKUP(B29, Cursadas[Asignatura], Cursadas[Convalidada], FALSE), XLOOKUP(B29, Cursadas[Asignatura], Cursadas[Aprobada], FALSE))</f>
        <v>0</v>
      </c>
    </row>
    <row r="30" ht="15.75" customHeight="1">
      <c r="B30" s="24" t="s">
        <v>82</v>
      </c>
      <c r="D30" s="6" t="b">
        <f>NOT(ISERROR(MATCH(B30, Cursadas[Asignatura], 0)))
</f>
        <v>0</v>
      </c>
      <c r="E30" s="6" t="b">
        <f t="array" ref="E30">OR(XLOOKUP(B30, Cursadas[Asignatura], Cursadas[Convalidada], FALSE), XLOOKUP(B30, Cursadas[Asignatura], Cursadas[Aprobada], FALSE))</f>
        <v>0</v>
      </c>
    </row>
    <row r="31" ht="15.75" customHeight="1">
      <c r="B31" s="24" t="s">
        <v>87</v>
      </c>
      <c r="D31" s="6" t="b">
        <f>NOT(ISERROR(MATCH(B31, Cursadas[Asignatura], 0)))
</f>
        <v>0</v>
      </c>
      <c r="E31" s="6" t="b">
        <f t="array" ref="E31">OR(XLOOKUP(B31, Cursadas[Asignatura], Cursadas[Convalidada], FALSE), XLOOKUP(B31, Cursadas[Asignatura], Cursadas[Aprobada], FALSE))</f>
        <v>0</v>
      </c>
    </row>
    <row r="32" ht="15.75" customHeight="1">
      <c r="A32" s="26"/>
      <c r="B32" s="24" t="s">
        <v>89</v>
      </c>
      <c r="C32" s="26"/>
      <c r="D32" s="6" t="b">
        <f>NOT(ISERROR(MATCH(B32, Cursadas[Asignatura], 0)))
</f>
        <v>0</v>
      </c>
      <c r="E32" s="6" t="b">
        <f t="array" ref="E32">OR(XLOOKUP(B32, Cursadas[Asignatura], Cursadas[Convalidada], FALSE), XLOOKUP(B32, Cursadas[Asignatura], Cursadas[Aprobada], FALSE))</f>
        <v>0</v>
      </c>
    </row>
    <row r="33" ht="15.75" customHeight="1">
      <c r="A33" s="23" t="s">
        <v>66</v>
      </c>
      <c r="B33" s="24" t="s">
        <v>78</v>
      </c>
      <c r="C33" s="25">
        <v>48.0</v>
      </c>
      <c r="D33" s="6" t="b">
        <f>NOT(ISERROR(MATCH(B33, Cursadas[Asignatura], 0)))
</f>
        <v>0</v>
      </c>
      <c r="E33" s="6" t="b">
        <f t="array" ref="E33">OR(XLOOKUP(B33, Cursadas[Asignatura], Cursadas[Convalidada], FALSE), XLOOKUP(B33, Cursadas[Asignatura], Cursadas[Aprobada], FALSE))</f>
        <v>0</v>
      </c>
    </row>
    <row r="34" ht="15.75" customHeight="1">
      <c r="B34" s="24" t="s">
        <v>23</v>
      </c>
      <c r="D34" s="6" t="b">
        <f>NOT(ISERROR(MATCH(B34, Cursadas[Asignatura], 0)))
</f>
        <v>1</v>
      </c>
      <c r="E34" s="6" t="b">
        <f t="array" ref="E34">OR(XLOOKUP(B34, Cursadas[Asignatura], Cursadas[Convalidada], FALSE), XLOOKUP(B34, Cursadas[Asignatura], Cursadas[Aprobada], FALSE))</f>
        <v>1</v>
      </c>
    </row>
    <row r="35" ht="15.75" customHeight="1">
      <c r="B35" s="24" t="s">
        <v>99</v>
      </c>
      <c r="D35" s="6" t="b">
        <f>NOT(ISERROR(MATCH(B35, Cursadas[Asignatura], 0)))
</f>
        <v>0</v>
      </c>
      <c r="E35" s="6" t="b">
        <f t="array" ref="E35">OR(XLOOKUP(B35, Cursadas[Asignatura], Cursadas[Convalidada], FALSE), XLOOKUP(B35, Cursadas[Asignatura], Cursadas[Aprobada], FALSE))</f>
        <v>0</v>
      </c>
    </row>
    <row r="36" ht="15.75" customHeight="1">
      <c r="B36" s="24" t="s">
        <v>117</v>
      </c>
      <c r="D36" s="6" t="b">
        <f>NOT(ISERROR(MATCH(B36, Cursadas[Asignatura], 0)))
</f>
        <v>0</v>
      </c>
      <c r="E36" s="6" t="b">
        <f t="array" ref="E36">OR(XLOOKUP(B36, Cursadas[Asignatura], Cursadas[Convalidada], FALSE), XLOOKUP(B36, Cursadas[Asignatura], Cursadas[Aprobada], FALSE))</f>
        <v>0</v>
      </c>
    </row>
    <row r="37" ht="15.75" customHeight="1">
      <c r="B37" s="24" t="s">
        <v>26</v>
      </c>
      <c r="D37" s="6" t="b">
        <f>NOT(ISERROR(MATCH(B37, Cursadas[Asignatura], 0)))
</f>
        <v>1</v>
      </c>
      <c r="E37" s="6" t="b">
        <f t="array" ref="E37">OR(XLOOKUP(B37, Cursadas[Asignatura], Cursadas[Convalidada], FALSE), XLOOKUP(B37, Cursadas[Asignatura], Cursadas[Aprobada], FALSE))</f>
        <v>1</v>
      </c>
    </row>
    <row r="38" ht="15.75" customHeight="1">
      <c r="B38" s="24" t="s">
        <v>82</v>
      </c>
      <c r="D38" s="6" t="b">
        <f>NOT(ISERROR(MATCH(B38, Cursadas[Asignatura], 0)))
</f>
        <v>0</v>
      </c>
      <c r="E38" s="6" t="b">
        <f t="array" ref="E38">OR(XLOOKUP(B38, Cursadas[Asignatura], Cursadas[Convalidada], FALSE), XLOOKUP(B38, Cursadas[Asignatura], Cursadas[Aprobada], FALSE))</f>
        <v>0</v>
      </c>
    </row>
    <row r="39" ht="15.75" customHeight="1">
      <c r="B39" s="24" t="s">
        <v>118</v>
      </c>
      <c r="D39" s="6" t="b">
        <f>NOT(ISERROR(MATCH(B39, Cursadas[Asignatura], 0)))
</f>
        <v>0</v>
      </c>
      <c r="E39" s="6" t="b">
        <f t="array" ref="E39">OR(XLOOKUP(B39, Cursadas[Asignatura], Cursadas[Convalidada], FALSE), XLOOKUP(B39, Cursadas[Asignatura], Cursadas[Aprobada], FALSE))</f>
        <v>0</v>
      </c>
    </row>
    <row r="40" ht="15.75" customHeight="1">
      <c r="A40" s="26"/>
      <c r="B40" s="24" t="s">
        <v>68</v>
      </c>
      <c r="C40" s="26"/>
      <c r="D40" s="6" t="b">
        <f>NOT(ISERROR(MATCH(B40, Cursadas[Asignatura], 0)))
</f>
        <v>0</v>
      </c>
      <c r="E40" s="6" t="b">
        <f t="array" ref="E40">OR(XLOOKUP(B40, Cursadas[Asignatura], Cursadas[Convalidada], FALSE), XLOOKUP(B40, Cursadas[Asignatura], Cursadas[Aprobada], FALSE))</f>
        <v>0</v>
      </c>
    </row>
    <row r="41" ht="15.75" customHeight="1">
      <c r="A41" s="27"/>
      <c r="B41" s="13"/>
      <c r="C41" s="1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5:A32"/>
    <mergeCell ref="A33:A40"/>
    <mergeCell ref="A2:A9"/>
    <mergeCell ref="C2:C9"/>
    <mergeCell ref="A10:A16"/>
    <mergeCell ref="C10:C16"/>
    <mergeCell ref="A17:A24"/>
    <mergeCell ref="C17:C24"/>
    <mergeCell ref="C25:C32"/>
    <mergeCell ref="C33:C40"/>
  </mergeCells>
  <dataValidations>
    <dataValidation type="list" allowBlank="1" showErrorMessage="1" sqref="D2:E40">
      <formula1>"FALSE,TRUE"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61.38"/>
  </cols>
  <sheetData>
    <row r="1">
      <c r="A1" s="2" t="s">
        <v>119</v>
      </c>
    </row>
    <row r="2">
      <c r="B2" s="2" t="s">
        <v>5</v>
      </c>
      <c r="C2" s="2" t="s">
        <v>6</v>
      </c>
      <c r="D2" s="2" t="s">
        <v>10</v>
      </c>
    </row>
    <row r="3">
      <c r="B3" s="13" t="s">
        <v>18</v>
      </c>
      <c r="C3" s="1" t="s">
        <v>12</v>
      </c>
      <c r="D3" s="2">
        <v>6.0</v>
      </c>
    </row>
    <row r="4">
      <c r="B4" s="13" t="s">
        <v>19</v>
      </c>
      <c r="C4" s="1" t="s">
        <v>12</v>
      </c>
      <c r="D4" s="2">
        <v>6.0</v>
      </c>
    </row>
    <row r="5">
      <c r="B5" s="13" t="s">
        <v>20</v>
      </c>
      <c r="C5" s="1" t="s">
        <v>12</v>
      </c>
      <c r="D5" s="2">
        <v>6.0</v>
      </c>
    </row>
    <row r="6">
      <c r="B6" s="21" t="s">
        <v>21</v>
      </c>
      <c r="C6" s="1" t="s">
        <v>14</v>
      </c>
      <c r="D6" s="1">
        <v>6.0</v>
      </c>
    </row>
    <row r="7">
      <c r="B7" s="21" t="s">
        <v>22</v>
      </c>
      <c r="C7" s="1" t="s">
        <v>14</v>
      </c>
      <c r="D7" s="1">
        <v>6.0</v>
      </c>
    </row>
    <row r="8">
      <c r="B8" s="21" t="s">
        <v>23</v>
      </c>
      <c r="C8" s="1" t="s">
        <v>14</v>
      </c>
      <c r="D8" s="1">
        <v>6.0</v>
      </c>
    </row>
    <row r="9">
      <c r="B9" s="21" t="s">
        <v>24</v>
      </c>
      <c r="C9" s="1" t="s">
        <v>14</v>
      </c>
      <c r="D9" s="1">
        <v>6.0</v>
      </c>
    </row>
    <row r="10">
      <c r="B10" s="16" t="s">
        <v>25</v>
      </c>
      <c r="C10" s="6" t="s">
        <v>16</v>
      </c>
      <c r="D10" s="6">
        <v>12.0</v>
      </c>
    </row>
    <row r="11">
      <c r="B11" s="16" t="s">
        <v>26</v>
      </c>
      <c r="C11" s="6" t="s">
        <v>16</v>
      </c>
      <c r="D11" s="6">
        <v>6.0</v>
      </c>
    </row>
    <row r="12">
      <c r="B12" s="16"/>
    </row>
  </sheetData>
  <autoFilter ref="$B$2:$D$1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1.38"/>
  </cols>
  <sheetData>
    <row r="1" ht="22.5" customHeight="1">
      <c r="A1" s="3" t="s">
        <v>120</v>
      </c>
      <c r="D1" s="28"/>
    </row>
    <row r="2" ht="22.5" customHeight="1">
      <c r="A2" s="29" t="s">
        <v>15</v>
      </c>
      <c r="D2" s="6" t="str">
        <f>IFERROR(__xludf.DUMMYFUNCTION("FILTER(Total_[Total Asignatutas], ISNA(MATCH(Total_[Total Asignatutas],Cursadas[Asignatura], 0)))"),"Aprendizaje computacional")</f>
        <v>Aprendizaje computacional</v>
      </c>
    </row>
    <row r="3" ht="22.5" customHeight="1">
      <c r="A3" s="29" t="s">
        <v>46</v>
      </c>
      <c r="D3" s="6" t="str">
        <f>IFERROR(__xludf.DUMMYFUNCTION("""COMPUTED_VALUE"""),"Arquitecturas de computadores avanzados")</f>
        <v>Arquitecturas de computadores avanzados</v>
      </c>
    </row>
    <row r="4" ht="22.5" customHeight="1">
      <c r="A4" s="29" t="s">
        <v>50</v>
      </c>
      <c r="D4" s="6" t="str">
        <f>IFERROR(__xludf.DUMMYFUNCTION("""COMPUTED_VALUE"""),"Arquitectura de bases de datos")</f>
        <v>Arquitectura de bases de datos</v>
      </c>
    </row>
    <row r="5" ht="22.5" customHeight="1">
      <c r="A5" s="29" t="s">
        <v>53</v>
      </c>
      <c r="D5" s="6" t="str">
        <f>IFERROR(__xludf.DUMMYFUNCTION("""COMPUTED_VALUE"""),"Arquitectura de computadores")</f>
        <v>Arquitectura de computadores</v>
      </c>
    </row>
    <row r="6" ht="22.5" customHeight="1">
      <c r="A6" s="29" t="s">
        <v>52</v>
      </c>
      <c r="D6" s="6" t="str">
        <f>IFERROR(__xludf.DUMMYFUNCTION("""COMPUTED_VALUE"""),"Autómatas y gramáticas")</f>
        <v>Autómatas y gramáticas</v>
      </c>
    </row>
    <row r="7" ht="22.5" customHeight="1">
      <c r="A7" s="29" t="s">
        <v>58</v>
      </c>
      <c r="D7" s="6" t="str">
        <f>IFERROR(__xludf.DUMMYFUNCTION("""COMPUTED_VALUE"""),"Comercio electrónico")</f>
        <v>Comercio electrónico</v>
      </c>
    </row>
    <row r="8" ht="22.5" customHeight="1">
      <c r="A8" s="29" t="s">
        <v>60</v>
      </c>
      <c r="D8" s="6" t="str">
        <f>IFERROR(__xludf.DUMMYFUNCTION("""COMPUTED_VALUE"""),"Compiladores")</f>
        <v>Compiladores</v>
      </c>
    </row>
    <row r="9" ht="22.5" customHeight="1">
      <c r="A9" s="29" t="s">
        <v>62</v>
      </c>
      <c r="D9" s="6" t="str">
        <f>IFERROR(__xludf.DUMMYFUNCTION("""COMPUTED_VALUE"""),"Criptografía")</f>
        <v>Criptografía</v>
      </c>
    </row>
    <row r="10" ht="22.5" customHeight="1">
      <c r="A10" s="29" t="s">
        <v>64</v>
      </c>
      <c r="D10" s="6" t="str">
        <f>IFERROR(__xludf.DUMMYFUNCTION("""COMPUTED_VALUE"""),"Planificación y uso estratégico de SI")</f>
        <v>Planificación y uso estratégico de SI</v>
      </c>
    </row>
    <row r="11" ht="22.5" customHeight="1">
      <c r="A11" s="29" t="s">
        <v>65</v>
      </c>
      <c r="D11" s="6" t="str">
        <f>IFERROR(__xludf.DUMMYFUNCTION("""COMPUTED_VALUE"""),"Diseño de estructuras de datos")</f>
        <v>Diseño de estructuras de datos</v>
      </c>
    </row>
    <row r="12" ht="22.5" customHeight="1">
      <c r="A12" s="29" t="s">
        <v>69</v>
      </c>
      <c r="D12" s="6" t="str">
        <f>IFERROR(__xludf.DUMMYFUNCTION("""COMPUTED_VALUE"""),"Diseño de sistemas operativos")</f>
        <v>Diseño de sistemas operativos</v>
      </c>
    </row>
    <row r="13" ht="22.5" customHeight="1">
      <c r="A13" s="29" t="s">
        <v>70</v>
      </c>
      <c r="D13" s="6" t="str">
        <f>IFERROR(__xludf.DUMMYFUNCTION("""COMPUTED_VALUE"""),"Diseño de redes de computadores")</f>
        <v>Diseño de redes de computadores</v>
      </c>
    </row>
    <row r="14" ht="22.5" customHeight="1">
      <c r="A14" s="29" t="s">
        <v>71</v>
      </c>
      <c r="D14" s="6" t="str">
        <f>IFERROR(__xludf.DUMMYFUNCTION("""COMPUTED_VALUE"""),"Ingeniería de requisitos")</f>
        <v>Ingeniería de requisitos</v>
      </c>
    </row>
    <row r="15" ht="22.5" customHeight="1">
      <c r="A15" s="29" t="s">
        <v>74</v>
      </c>
      <c r="D15" s="6" t="str">
        <f>IFERROR(__xludf.DUMMYFUNCTION("""COMPUTED_VALUE"""),"Ingeniería del software de componentes y sistemas distribudos")</f>
        <v>Ingeniería del software de componentes y sistemas distribudos</v>
      </c>
    </row>
    <row r="16" ht="22.5" customHeight="1">
      <c r="A16" s="29" t="s">
        <v>75</v>
      </c>
      <c r="D16" s="6" t="str">
        <f>IFERROR(__xludf.DUMMYFUNCTION("""COMPUTED_VALUE"""),"Estructura de redes de computadores")</f>
        <v>Estructura de redes de computadores</v>
      </c>
    </row>
    <row r="17" ht="22.5" customHeight="1">
      <c r="A17" s="29" t="s">
        <v>73</v>
      </c>
      <c r="D17" s="6" t="str">
        <f>IFERROR(__xludf.DUMMYFUNCTION("""COMPUTED_VALUE"""),"Fundamentos de sistemas de información")</f>
        <v>Fundamentos de sistemas de información</v>
      </c>
    </row>
    <row r="18" ht="22.5" customHeight="1">
      <c r="A18" s="29" t="s">
        <v>78</v>
      </c>
      <c r="D18" s="6" t="str">
        <f>IFERROR(__xludf.DUMMYFUNCTION("""COMPUTED_VALUE"""),"Gestión funcional de servicios de SI/TI")</f>
        <v>Gestión funcional de servicios de SI/TI</v>
      </c>
    </row>
    <row r="19" ht="22.5" customHeight="1">
      <c r="A19" s="29" t="s">
        <v>80</v>
      </c>
      <c r="D19" s="6" t="str">
        <f>IFERROR(__xludf.DUMMYFUNCTION("""COMPUTED_VALUE"""),"Iniciación a las matemáticas para la ingeniería")</f>
        <v>Iniciación a las matemáticas para la ingeniería</v>
      </c>
    </row>
    <row r="20" ht="22.5" customHeight="1">
      <c r="A20" s="29" t="s">
        <v>81</v>
      </c>
      <c r="D20" s="6" t="str">
        <f>IFERROR(__xludf.DUMMYFUNCTION("""COMPUTED_VALUE"""),"Integración de sistemas de información")</f>
        <v>Integración de sistemas de información</v>
      </c>
    </row>
    <row r="21" ht="22.5" customHeight="1">
      <c r="A21" s="29" t="s">
        <v>26</v>
      </c>
      <c r="D21" s="6" t="str">
        <f>IFERROR(__xludf.DUMMYFUNCTION("""COMPUTED_VALUE"""),"Mineria de datos")</f>
        <v>Mineria de datos</v>
      </c>
    </row>
    <row r="22" ht="22.5" customHeight="1">
      <c r="A22" s="29" t="s">
        <v>82</v>
      </c>
      <c r="D22" s="6" t="str">
        <f>IFERROR(__xludf.DUMMYFUNCTION("""COMPUTED_VALUE"""),"Representación del conocimiento")</f>
        <v>Representación del conocimiento</v>
      </c>
    </row>
    <row r="23" ht="22.5" customHeight="1">
      <c r="A23" s="29" t="s">
        <v>83</v>
      </c>
      <c r="D23" s="6" t="str">
        <f>IFERROR(__xludf.DUMMYFUNCTION("""COMPUTED_VALUE"""),"Seguridad en redes de computadores")</f>
        <v>Seguridad en redes de computadores</v>
      </c>
    </row>
    <row r="24" ht="22.5" customHeight="1">
      <c r="A24" s="29" t="s">
        <v>25</v>
      </c>
      <c r="D24" s="6" t="str">
        <f>IFERROR(__xludf.DUMMYFUNCTION("""COMPUTED_VALUE"""),"Sistemas empotrados")</f>
        <v>Sistemas empotrados</v>
      </c>
    </row>
    <row r="25" ht="22.5" customHeight="1">
      <c r="A25" s="29" t="s">
        <v>88</v>
      </c>
      <c r="D25" s="6" t="str">
        <f>IFERROR(__xludf.DUMMYFUNCTION("""COMPUTED_VALUE"""),"Uso de sistemas de información en las organizaciones")</f>
        <v>Uso de sistemas de información en las organizaciones</v>
      </c>
    </row>
    <row r="26" ht="22.5" customHeight="1">
      <c r="A26" s="29" t="s">
        <v>89</v>
      </c>
      <c r="D26" s="6" t="str">
        <f>IFERROR(__xludf.DUMMYFUNCTION("""COMPUTED_VALUE"""),"Pensamiento computacional para aprender a programar")</f>
        <v>Pensamiento computacional para aprender a programar</v>
      </c>
    </row>
    <row r="27" ht="22.5" customHeight="1">
      <c r="A27" s="29" t="s">
        <v>91</v>
      </c>
      <c r="D27" s="6" t="str">
        <f>IFERROR(__xludf.DUMMYFUNCTION("""COMPUTED_VALUE"""),"Trabajo final de grado / Más información sobre el trámite Solicitud del trabajo final")</f>
        <v>Trabajo final de grado / Más información sobre el trámite Solicitud del trabajo final</v>
      </c>
    </row>
    <row r="28" ht="22.5" customHeight="1">
      <c r="A28" s="29" t="s">
        <v>68</v>
      </c>
      <c r="D28" s="6" t="str">
        <f>IFERROR(__xludf.DUMMYFUNCTION("""COMPUTED_VALUE"""),"Administración de redes y sistemas operativos")</f>
        <v>Administración de redes y sistemas operativos</v>
      </c>
    </row>
    <row r="29" ht="22.5" customHeight="1">
      <c r="A29" s="29" t="s">
        <v>92</v>
      </c>
      <c r="D29" s="6" t="str">
        <f>IFERROR(__xludf.DUMMYFUNCTION("""COMPUTED_VALUE"""),"Estructura de computadores")</f>
        <v>Estructura de computadores</v>
      </c>
    </row>
    <row r="30" ht="22.5" customHeight="1">
      <c r="A30" s="29" t="s">
        <v>94</v>
      </c>
      <c r="D30" s="6" t="str">
        <f>IFERROR(__xludf.DUMMYFUNCTION("""COMPUTED_VALUE"""),"Gestión de proyectos")</f>
        <v>Gestión de proyectos</v>
      </c>
    </row>
    <row r="31" ht="22.5" customHeight="1">
      <c r="A31" s="30" t="s">
        <v>72</v>
      </c>
      <c r="D31" s="6" t="str">
        <f>IFERROR(__xludf.DUMMYFUNCTION("""COMPUTED_VALUE"""),"Grafos y complejidad")</f>
        <v>Grafos y complejidad</v>
      </c>
    </row>
    <row r="32" ht="22.5" customHeight="1">
      <c r="A32" s="30" t="s">
        <v>17</v>
      </c>
      <c r="D32" s="6" t="str">
        <f>IFERROR(__xludf.DUMMYFUNCTION("""COMPUTED_VALUE"""),"Idioma moderno I: inglés")</f>
        <v>Idioma moderno I: inglés</v>
      </c>
    </row>
    <row r="33" ht="22.5" customHeight="1">
      <c r="A33" s="30" t="s">
        <v>21</v>
      </c>
      <c r="D33" s="6" t="str">
        <f>IFERROR(__xludf.DUMMYFUNCTION("""COMPUTED_VALUE"""),"Idioma moderno II: inglés")</f>
        <v>Idioma moderno II: inglés</v>
      </c>
    </row>
    <row r="34" ht="22.5" customHeight="1">
      <c r="A34" s="30" t="s">
        <v>22</v>
      </c>
      <c r="D34" s="6" t="str">
        <f>IFERROR(__xludf.DUMMYFUNCTION("""COMPUTED_VALUE"""),"Inteligencia artificial")</f>
        <v>Inteligencia artificial</v>
      </c>
    </row>
    <row r="35" ht="22.5" customHeight="1">
      <c r="A35" s="30" t="s">
        <v>23</v>
      </c>
      <c r="D35" s="6" t="str">
        <f>IFERROR(__xludf.DUMMYFUNCTION("""COMPUTED_VALUE"""),"Interacción persona ordenador")</f>
        <v>Interacción persona ordenador</v>
      </c>
    </row>
    <row r="36" ht="22.5" customHeight="1">
      <c r="A36" s="30" t="s">
        <v>97</v>
      </c>
      <c r="D36" s="6" t="str">
        <f>IFERROR(__xludf.DUMMYFUNCTION("""COMPUTED_VALUE"""),"Sistemas distribuidos")</f>
        <v>Sistemas distribuidos</v>
      </c>
    </row>
    <row r="37" ht="22.5" customHeight="1">
      <c r="A37" s="30" t="s">
        <v>99</v>
      </c>
      <c r="D37" s="6" t="str">
        <f>IFERROR(__xludf.DUMMYFUNCTION("""COMPUTED_VALUE"""),"Sistemas operativos")</f>
        <v>Sistemas operativos</v>
      </c>
    </row>
    <row r="38" ht="22.5" customHeight="1">
      <c r="A38" s="30" t="s">
        <v>59</v>
      </c>
      <c r="D38" s="6" t="str">
        <f>IFERROR(__xludf.DUMMYFUNCTION("""COMPUTED_VALUE"""),"Redes y aplicaciones Internet")</f>
        <v>Redes y aplicaciones Internet</v>
      </c>
    </row>
    <row r="39" ht="22.5" customHeight="1">
      <c r="A39" s="30" t="s">
        <v>101</v>
      </c>
      <c r="D39" s="6" t="str">
        <f>IFERROR(__xludf.DUMMYFUNCTION("""COMPUTED_VALUE"""),"Trabajo final de grado / Más información sobre el trámite Solicitud del trabajo final")</f>
        <v>Trabajo final de grado / Más información sobre el trámite Solicitud del trabajo final</v>
      </c>
    </row>
    <row r="40" ht="22.5" customHeight="1">
      <c r="A40" s="30" t="s">
        <v>102</v>
      </c>
      <c r="D40" s="6" t="str">
        <f>IFERROR(__xludf.DUMMYFUNCTION("""COMPUTED_VALUE"""),"Administración y gestión de organizaciones")</f>
        <v>Administración y gestión de organizaciones</v>
      </c>
    </row>
    <row r="41" ht="22.5" customHeight="1">
      <c r="A41" s="30" t="s">
        <v>49</v>
      </c>
      <c r="D41" s="6" t="str">
        <f>IFERROR(__xludf.DUMMYFUNCTION("""COMPUTED_VALUE"""),"Análisis matemático")</f>
        <v>Análisis matemático</v>
      </c>
    </row>
    <row r="42" ht="22.5" customHeight="1">
      <c r="A42" s="30" t="s">
        <v>87</v>
      </c>
      <c r="D42" s="6" t="str">
        <f>IFERROR(__xludf.DUMMYFUNCTION("""COMPUTED_VALUE"""),"Estadística")</f>
        <v>Estadística</v>
      </c>
    </row>
    <row r="43" ht="22.5" customHeight="1">
      <c r="A43" s="30" t="s">
        <v>103</v>
      </c>
      <c r="D43" s="6" t="str">
        <f>IFERROR(__xludf.DUMMYFUNCTION("""COMPUTED_VALUE"""),"Fundamentos de computadores")</f>
        <v>Fundamentos de computadores</v>
      </c>
    </row>
    <row r="44" ht="22.5" customHeight="1">
      <c r="A44" s="30" t="s">
        <v>57</v>
      </c>
      <c r="D44" s="6" t="str">
        <f>IFERROR(__xludf.DUMMYFUNCTION("""COMPUTED_VALUE"""),"Fundamentos físicos de la informática")</f>
        <v>Fundamentos físicos de la informática</v>
      </c>
    </row>
    <row r="45" ht="22.5" customHeight="1">
      <c r="A45" s="30" t="s">
        <v>24</v>
      </c>
    </row>
    <row r="46" ht="22.5" customHeight="1">
      <c r="A46" s="30" t="s">
        <v>77</v>
      </c>
    </row>
    <row r="47" ht="22.5" customHeight="1">
      <c r="A47" s="30" t="s">
        <v>94</v>
      </c>
    </row>
    <row r="48" ht="22.5" customHeight="1">
      <c r="A48" s="30" t="s">
        <v>28</v>
      </c>
    </row>
    <row r="49" ht="22.5" customHeight="1">
      <c r="A49" s="30" t="s">
        <v>27</v>
      </c>
    </row>
    <row r="50" ht="22.5" customHeight="1">
      <c r="A50" s="30" t="s">
        <v>35</v>
      </c>
    </row>
    <row r="51" ht="22.5" customHeight="1">
      <c r="A51" s="30" t="s">
        <v>36</v>
      </c>
    </row>
    <row r="52" ht="22.5" customHeight="1">
      <c r="A52" s="30" t="s">
        <v>37</v>
      </c>
    </row>
    <row r="53" ht="22.5" customHeight="1">
      <c r="A53" s="30" t="s">
        <v>18</v>
      </c>
    </row>
    <row r="54" ht="22.5" customHeight="1">
      <c r="A54" s="30" t="s">
        <v>40</v>
      </c>
    </row>
    <row r="55" ht="22.5" customHeight="1">
      <c r="A55" s="30" t="s">
        <v>13</v>
      </c>
    </row>
    <row r="56" ht="22.5" customHeight="1">
      <c r="A56" s="30" t="s">
        <v>19</v>
      </c>
    </row>
    <row r="57" ht="22.5" customHeight="1">
      <c r="A57" s="30" t="s">
        <v>20</v>
      </c>
    </row>
  </sheetData>
  <drawing r:id="rId1"/>
  <tableParts count="1">
    <tablePart r:id="rId3"/>
  </tableParts>
</worksheet>
</file>

<file path=customMetadata/metadata.xml><?xml version="1.0" encoding="utf-8"?>
<metadata xmlns:m="TITUSALL_TAXV6" id="97c1a43c-d052-4c71-bb3a-cb70ad1a50cd">
  <m:L value="XXPRI">
    <alt>L=XXPRI</alt>
  </m:L>
  <m:STAMP value="NO">
    <alt>STAMP=NO</alt>
  </m:STAMP>
</metadata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f7a69776-104f-47bc-b1e8-45c96d58791c</vt:lpwstr>
  </property>
  <property name="L" fmtid="{D5CDD505-2E9C-101B-9397-08002B2CF9AE}" pid="3">
    <vt:lpwstr>XXPRI</vt:lpwstr>
  </property>
  <property name="STAMP" fmtid="{D5CDD505-2E9C-101B-9397-08002B2CF9AE}" pid="16">
    <vt:lpwstr>NO</vt:lpwstr>
  </property>
</Properties>
</file>